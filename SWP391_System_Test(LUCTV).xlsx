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ver" sheetId="1" state="visible" r:id="rId1"/>
    <sheet name="Test Cases" sheetId="2" state="visible" r:id="rId2"/>
    <sheet name="Test Statistics" sheetId="3" state="visible" r:id="rId3"/>
    <sheet name="Register_TC" sheetId="4" state="visible" r:id="rId4"/>
    <sheet name="Login_TC" sheetId="5" state="visible" r:id="rId5"/>
    <sheet name="Logout_TC" sheetId="6" state="visible" r:id="rId6"/>
    <sheet name="RequestReset_TC" sheetId="7" state="visible" r:id="rId7"/>
    <sheet name="ResetPassword_TC" sheetId="8" state="visible" r:id="rId8"/>
    <sheet name="ChangePassword_TC" sheetId="9" state="visible" r:id="rId9"/>
    <sheet name="UpdateProfile_TC" sheetId="10" state="visible" r:id="rId10"/>
    <sheet name="ViewProfile_TC" sheetId="11" state="visible" r:id="rId11"/>
    <sheet name="ViewAccountList_TC" sheetId="12" state="visible" r:id="rId12"/>
    <sheet name="ChangeStatus_TC" sheetId="13" state="visible" r:id="rId13"/>
    <sheet name="ChangeRole_TC" sheetId="14" state="visible" r:id="rId14"/>
    <sheet name="AddAccount_TC" sheetId="15" state="visible" r:id="rId15"/>
    <sheet name="ViewDetail_TC" sheetId="16" state="visible" r:id="rId16"/>
  </sheets>
  <definedNames>
    <definedName name="ACTION">#REF!</definedName>
    <definedName name="ACTION" localSheetId="0">#REF!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yyyy-mm-dd"/>
    <numFmt numFmtId="166" formatCode="0.0"/>
    <numFmt numFmtId="167" formatCode="yyyy-mm-dd h:mm:ss"/>
  </numFmts>
  <fonts count="25">
    <font>
      <name val="MS PGothic"/>
      <color rgb="FF000000"/>
      <sz val="11"/>
      <scheme val="minor"/>
    </font>
    <font>
      <name val="Tahoma"/>
      <color theme="1"/>
      <sz val="10"/>
    </font>
    <font>
      <name val="Tahoma"/>
      <b val="1"/>
      <color rgb="FFFF0000"/>
      <sz val="26"/>
    </font>
    <font>
      <name val="Tahoma"/>
      <b val="1"/>
      <color rgb="FF000000"/>
      <sz val="20"/>
    </font>
    <font/>
    <font>
      <name val="Tahoma"/>
      <b val="1"/>
      <color rgb="FF993300"/>
      <sz val="10"/>
    </font>
    <font>
      <name val="Tahoma"/>
      <i val="1"/>
      <color rgb="FF008000"/>
      <sz val="10"/>
    </font>
    <font>
      <name val="Tahoma"/>
      <b val="1"/>
      <color theme="1"/>
      <sz val="10"/>
    </font>
    <font>
      <name val="Tahoma"/>
      <i val="1"/>
      <color theme="1"/>
      <sz val="10"/>
    </font>
    <font>
      <name val="Tahoma"/>
      <b val="1"/>
      <color rgb="FFFFFFFF"/>
      <sz val="10"/>
    </font>
    <font>
      <name val="Calibri"/>
      <color theme="1"/>
      <sz val="11"/>
    </font>
    <font>
      <name val="Calibri"/>
      <color theme="1"/>
      <sz val="10"/>
    </font>
    <font>
      <name val="Tahoma"/>
      <b val="1"/>
      <color rgb="FF000000"/>
      <sz val="10"/>
    </font>
    <font>
      <name val="Tahoma"/>
      <b val="1"/>
      <color rgb="FFFF0000"/>
      <sz val="10"/>
    </font>
    <font>
      <name val="MS PGothic"/>
      <color theme="1"/>
      <scheme val="minor"/>
    </font>
    <font>
      <name val="Carlito"/>
      <color theme="1"/>
      <sz val="11"/>
    </font>
    <font>
      <name val="Tahoma"/>
      <color rgb="FFFFFFFF"/>
      <sz val="10"/>
    </font>
    <font>
      <name val="Tahoma"/>
      <b val="1"/>
      <color rgb="FF0000FF"/>
      <sz val="10"/>
    </font>
    <font>
      <name val="Tahoma"/>
      <color rgb="FF000000"/>
      <sz val="10"/>
    </font>
    <font>
      <name val="Tahoma"/>
      <color rgb="FFFF0000"/>
      <sz val="10"/>
    </font>
    <font>
      <name val="Tahoma"/>
      <b val="1"/>
      <i val="1"/>
      <color theme="1"/>
      <sz val="10"/>
    </font>
    <font>
      <name val="Calibri"/>
      <color rgb="FF000000"/>
      <sz val="12"/>
    </font>
    <font>
      <name val="Calibri"/>
      <b val="1"/>
      <i val="1"/>
      <sz val="11"/>
    </font>
    <font>
      <name val="Calibri"/>
      <sz val="10"/>
    </font>
    <font>
      <name val="Calibri"/>
      <sz val="11"/>
    </font>
  </fonts>
  <fills count="8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76923C"/>
        <bgColor rgb="FF76923C"/>
      </patternFill>
    </fill>
    <fill>
      <patternFill patternType="solid">
        <fgColor rgb="FFCCFFFF"/>
        <bgColor rgb="FFCCFFFF"/>
      </patternFill>
    </fill>
    <fill>
      <patternFill patternType="solid">
        <fgColor rgb="00F2F2F2"/>
        <bgColor rgb="00F2F2F2"/>
      </patternFill>
    </fill>
  </fills>
  <borders count="6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</border>
    <border>
      <left style="hair">
        <color rgb="FF000000"/>
      </left>
      <right style="hair">
        <color rgb="FF000000"/>
      </right>
      <top style="thin">
        <color rgb="FF000000"/>
      </top>
    </border>
    <border>
      <left style="hair">
        <color rgb="FF000000"/>
      </left>
      <right/>
      <top style="thin">
        <color rgb="FF000000"/>
      </top>
    </border>
    <border>
      <left style="hair">
        <color rgb="FF000000"/>
      </left>
      <right style="thin">
        <color rgb="FF000000"/>
      </right>
      <top style="thin">
        <color rgb="FF000000"/>
      </top>
    </border>
    <border>
      <left/>
      <top/>
      <bottom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right/>
      <top/>
      <bottom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/>
    </border>
    <border>
      <left/>
      <right style="hair">
        <color rgb="FF000000"/>
      </right>
      <top style="thin">
        <color rgb="FF000000"/>
      </top>
    </border>
    <border>
      <left style="hair">
        <color rgb="FF000000"/>
      </left>
      <right style="medium">
        <color rgb="FF000000"/>
      </right>
      <top style="thin">
        <color rgb="FF000000"/>
      </top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 style="hair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bottom style="thin">
        <color rgb="FF000000"/>
      </bottom>
    </border>
    <border>
      <left style="hair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/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  <top style="thin">
        <color rgb="FF000000"/>
      </top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</border>
    <border>
      <right style="thin">
        <color rgb="00D3D3D3"/>
      </right>
      <top style="thin">
        <color rgb="00D3D3D3"/>
      </top>
    </border>
    <border>
      <top style="thin">
        <color rgb="00D3D3D3"/>
      </top>
      <bottom style="thin">
        <color rgb="00D3D3D3"/>
      </bottom>
    </border>
    <border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23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0" borderId="3" pivotButton="0" quotePrefix="0" xfId="0"/>
    <xf numFmtId="0" fontId="1" fillId="0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" fillId="2" borderId="4" pivotButton="0" quotePrefix="0" xfId="0"/>
    <xf numFmtId="0" fontId="7" fillId="2" borderId="5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" fillId="0" borderId="3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164" fontId="8" fillId="0" borderId="3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15" fontId="9" fillId="3" borderId="6" applyAlignment="1" pivotButton="0" quotePrefix="0" xfId="0">
      <alignment horizontal="left" vertical="center" wrapText="1"/>
    </xf>
    <xf numFmtId="0" fontId="9" fillId="3" borderId="7" applyAlignment="1" pivotButton="0" quotePrefix="0" xfId="0">
      <alignment horizontal="left" vertical="center" wrapText="1"/>
    </xf>
    <xf numFmtId="0" fontId="9" fillId="3" borderId="8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/>
    </xf>
    <xf numFmtId="164" fontId="10" fillId="0" borderId="9" applyAlignment="1" pivotButton="0" quotePrefix="0" xfId="0">
      <alignment horizontal="left" vertical="center" wrapText="1"/>
    </xf>
    <xf numFmtId="49" fontId="10" fillId="0" borderId="1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10" applyAlignment="1" pivotButton="0" quotePrefix="0" xfId="0">
      <alignment horizontal="left" vertical="center" wrapText="1"/>
    </xf>
    <xf numFmtId="0" fontId="10" fillId="0" borderId="11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top"/>
    </xf>
    <xf numFmtId="15" fontId="11" fillId="0" borderId="9" applyAlignment="1" pivotButton="0" quotePrefix="0" xfId="0">
      <alignment horizontal="left" vertical="center" wrapText="1"/>
    </xf>
    <xf numFmtId="49" fontId="11" fillId="0" borderId="10" applyAlignment="1" pivotButton="0" quotePrefix="0" xfId="0">
      <alignment horizontal="left" vertical="center" wrapText="1"/>
    </xf>
    <xf numFmtId="0" fontId="11" fillId="0" borderId="10" applyAlignment="1" pivotButton="0" quotePrefix="0" xfId="0">
      <alignment horizontal="left" vertical="center" wrapText="1"/>
    </xf>
    <xf numFmtId="0" fontId="11" fillId="0" borderId="11" applyAlignment="1" pivotButton="0" quotePrefix="0" xfId="0">
      <alignment horizontal="left" vertical="center" wrapText="1"/>
    </xf>
    <xf numFmtId="15" fontId="11" fillId="0" borderId="12" applyAlignment="1" pivotButton="0" quotePrefix="0" xfId="0">
      <alignment horizontal="left" vertical="center" wrapText="1"/>
    </xf>
    <xf numFmtId="49" fontId="11" fillId="0" borderId="13" applyAlignment="1" pivotButton="0" quotePrefix="0" xfId="0">
      <alignment horizontal="left" vertical="center" wrapText="1"/>
    </xf>
    <xf numFmtId="0" fontId="11" fillId="0" borderId="13" applyAlignment="1" pivotButton="0" quotePrefix="0" xfId="0">
      <alignment horizontal="left" vertical="center" wrapText="1"/>
    </xf>
    <xf numFmtId="0" fontId="11" fillId="0" borderId="14" applyAlignment="1" pivotButton="0" quotePrefix="0" xfId="0">
      <alignment horizontal="left" vertical="center" wrapText="1"/>
    </xf>
    <xf numFmtId="1" fontId="1" fillId="2" borderId="4" pivotButton="0" quotePrefix="0" xfId="0"/>
    <xf numFmtId="0" fontId="1" fillId="2" borderId="4" applyAlignment="1" pivotButton="0" quotePrefix="0" xfId="0">
      <alignment horizontal="left"/>
    </xf>
    <xf numFmtId="0" fontId="3" fillId="2" borderId="4" applyAlignment="1" pivotButton="0" quotePrefix="0" xfId="0">
      <alignment horizontal="left"/>
    </xf>
    <xf numFmtId="0" fontId="12" fillId="2" borderId="4" applyAlignment="1" pivotButton="0" quotePrefix="0" xfId="0">
      <alignment horizontal="left"/>
    </xf>
    <xf numFmtId="0" fontId="13" fillId="2" borderId="4" applyAlignment="1" pivotButton="0" quotePrefix="0" xfId="0">
      <alignment horizontal="left"/>
    </xf>
    <xf numFmtId="1" fontId="5" fillId="2" borderId="1" pivotButton="0" quotePrefix="0" xfId="0"/>
    <xf numFmtId="0" fontId="6" fillId="2" borderId="1" applyAlignment="1" pivotButton="0" quotePrefix="0" xfId="0">
      <alignment horizontal="left"/>
    </xf>
    <xf numFmtId="0" fontId="6" fillId="2" borderId="1" applyAlignment="1" pivotButton="0" quotePrefix="0" xfId="0">
      <alignment horizontal="left"/>
    </xf>
    <xf numFmtId="0" fontId="1" fillId="2" borderId="4" applyAlignment="1" pivotButton="0" quotePrefix="0" xfId="0">
      <alignment wrapText="1"/>
    </xf>
    <xf numFmtId="1" fontId="5" fillId="2" borderId="1" applyAlignment="1" pivotButton="0" quotePrefix="0" xfId="0">
      <alignment vertical="center" wrapText="1"/>
    </xf>
    <xf numFmtId="0" fontId="6" fillId="2" borderId="1" applyAlignment="1" pivotButton="0" quotePrefix="0" xfId="0">
      <alignment vertical="top" wrapText="1"/>
    </xf>
    <xf numFmtId="1" fontId="5" fillId="2" borderId="4" pivotButton="0" quotePrefix="0" xfId="0"/>
    <xf numFmtId="0" fontId="1" fillId="2" borderId="4" applyAlignment="1" pivotButton="0" quotePrefix="0" xfId="0">
      <alignment vertical="center"/>
    </xf>
    <xf numFmtId="1" fontId="1" fillId="2" borderId="4" applyAlignment="1" pivotButton="0" quotePrefix="0" xfId="0">
      <alignment vertical="center"/>
    </xf>
    <xf numFmtId="0" fontId="1" fillId="2" borderId="4" applyAlignment="1" pivotButton="0" quotePrefix="0" xfId="0">
      <alignment horizontal="left" vertical="center"/>
    </xf>
    <xf numFmtId="0" fontId="7" fillId="2" borderId="4" applyAlignment="1" pivotButton="0" quotePrefix="0" xfId="0">
      <alignment horizontal="center"/>
    </xf>
    <xf numFmtId="1" fontId="9" fillId="4" borderId="15" applyAlignment="1" pivotButton="0" quotePrefix="0" xfId="0">
      <alignment horizontal="center" vertical="center"/>
    </xf>
    <xf numFmtId="0" fontId="9" fillId="4" borderId="16" applyAlignment="1" pivotButton="0" quotePrefix="0" xfId="0">
      <alignment horizontal="center" vertical="center"/>
    </xf>
    <xf numFmtId="0" fontId="9" fillId="4" borderId="17" applyAlignment="1" pivotButton="0" quotePrefix="0" xfId="0">
      <alignment horizontal="center" vertical="center"/>
    </xf>
    <xf numFmtId="0" fontId="9" fillId="4" borderId="18" applyAlignment="1" pivotButton="0" quotePrefix="0" xfId="0">
      <alignment horizontal="center" vertical="center"/>
    </xf>
    <xf numFmtId="0" fontId="1" fillId="2" borderId="19" pivotButton="0" quotePrefix="0" xfId="0"/>
    <xf numFmtId="1" fontId="1" fillId="2" borderId="20" applyAlignment="1" pivotButton="0" quotePrefix="0" xfId="0">
      <alignment vertical="center"/>
    </xf>
    <xf numFmtId="49" fontId="14" fillId="0" borderId="0" pivotButton="0" quotePrefix="0" xfId="0"/>
    <xf numFmtId="0" fontId="1" fillId="2" borderId="21" applyAlignment="1" pivotButton="0" quotePrefix="0" xfId="0">
      <alignment horizontal="left" vertical="center"/>
    </xf>
    <xf numFmtId="0" fontId="14" fillId="0" borderId="0" pivotButton="0" quotePrefix="0" xfId="0"/>
    <xf numFmtId="0" fontId="1" fillId="2" borderId="22" pivotButton="0" quotePrefix="0" xfId="0"/>
    <xf numFmtId="1" fontId="1" fillId="2" borderId="23" applyAlignment="1" pivotButton="0" quotePrefix="0" xfId="0">
      <alignment vertical="center"/>
    </xf>
    <xf numFmtId="49" fontId="1" fillId="2" borderId="24" applyAlignment="1" pivotButton="0" quotePrefix="0" xfId="0">
      <alignment horizontal="left" vertical="center"/>
    </xf>
    <xf numFmtId="0" fontId="1" fillId="2" borderId="24" applyAlignment="1" pivotButton="0" quotePrefix="0" xfId="0">
      <alignment horizontal="left" vertical="center"/>
    </xf>
    <xf numFmtId="1" fontId="1" fillId="2" borderId="25" applyAlignment="1" pivotButton="0" quotePrefix="0" xfId="0">
      <alignment vertical="center"/>
    </xf>
    <xf numFmtId="0" fontId="3" fillId="2" borderId="19" applyAlignment="1" pivotButton="0" quotePrefix="0" xfId="0">
      <alignment horizontal="center"/>
    </xf>
    <xf numFmtId="0" fontId="4" fillId="0" borderId="26" pivotButton="0" quotePrefix="0" xfId="0"/>
    <xf numFmtId="0" fontId="7" fillId="2" borderId="4" pivotButton="0" quotePrefix="0" xfId="0"/>
    <xf numFmtId="15" fontId="1" fillId="2" borderId="4" pivotButton="0" quotePrefix="0" xfId="0"/>
    <xf numFmtId="0" fontId="5" fillId="2" borderId="5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wrapText="1"/>
    </xf>
    <xf numFmtId="0" fontId="5" fillId="2" borderId="1" applyAlignment="1" pivotButton="0" quotePrefix="0" xfId="0">
      <alignment horizontal="left" wrapText="1"/>
    </xf>
    <xf numFmtId="0" fontId="5" fillId="2" borderId="27" applyAlignment="1" pivotButton="0" quotePrefix="0" xfId="0">
      <alignment horizontal="left" wrapText="1"/>
    </xf>
    <xf numFmtId="0" fontId="1" fillId="2" borderId="27" applyAlignment="1" pivotButton="0" quotePrefix="0" xfId="0">
      <alignment vertical="top" wrapText="1"/>
    </xf>
    <xf numFmtId="0" fontId="6" fillId="2" borderId="1" applyAlignment="1" pivotButton="0" quotePrefix="0" xfId="0">
      <alignment horizontal="left" wrapText="1"/>
    </xf>
    <xf numFmtId="0" fontId="1" fillId="2" borderId="27" applyAlignment="1" pivotButton="0" quotePrefix="0" xfId="0">
      <alignment vertical="top" wrapText="1"/>
    </xf>
    <xf numFmtId="0" fontId="5" fillId="2" borderId="5" applyAlignment="1" pivotButton="0" quotePrefix="0" xfId="0">
      <alignment vertical="center" wrapText="1"/>
    </xf>
    <xf numFmtId="164" fontId="6" fillId="2" borderId="27" applyAlignment="1" pivotButton="0" quotePrefix="0" xfId="0">
      <alignment horizontal="left" vertical="top" wrapText="1"/>
    </xf>
    <xf numFmtId="0" fontId="6" fillId="2" borderId="1" applyAlignment="1" pivotButton="0" quotePrefix="0" xfId="0">
      <alignment vertical="top" wrapText="1"/>
    </xf>
    <xf numFmtId="0" fontId="5" fillId="2" borderId="4" applyAlignment="1" pivotButton="0" quotePrefix="0" xfId="0">
      <alignment wrapText="1"/>
    </xf>
    <xf numFmtId="0" fontId="6" fillId="2" borderId="4" applyAlignment="1" pivotButton="0" quotePrefix="0" xfId="0">
      <alignment wrapText="1"/>
    </xf>
    <xf numFmtId="15" fontId="1" fillId="2" borderId="4" applyAlignment="1" pivotButton="0" quotePrefix="0" xfId="0">
      <alignment wrapText="1"/>
    </xf>
    <xf numFmtId="0" fontId="1" fillId="2" borderId="28" pivotButton="0" quotePrefix="0" xfId="0"/>
    <xf numFmtId="0" fontId="9" fillId="3" borderId="29" applyAlignment="1" pivotButton="0" quotePrefix="0" xfId="0">
      <alignment horizontal="center" wrapText="1"/>
    </xf>
    <xf numFmtId="0" fontId="9" fillId="3" borderId="16" applyAlignment="1" pivotButton="0" quotePrefix="0" xfId="0">
      <alignment horizontal="center" wrapText="1"/>
    </xf>
    <xf numFmtId="0" fontId="9" fillId="3" borderId="17" applyAlignment="1" pivotButton="0" quotePrefix="0" xfId="0">
      <alignment horizontal="center" wrapText="1"/>
    </xf>
    <xf numFmtId="0" fontId="9" fillId="3" borderId="30" applyAlignment="1" pivotButton="0" quotePrefix="0" xfId="0">
      <alignment horizontal="center" wrapText="1"/>
    </xf>
    <xf numFmtId="0" fontId="1" fillId="2" borderId="20" applyAlignment="1" pivotButton="0" quotePrefix="0" xfId="0">
      <alignment horizontal="center" wrapText="1"/>
    </xf>
    <xf numFmtId="0" fontId="15" fillId="0" borderId="21" applyAlignment="1" pivotButton="0" quotePrefix="0" xfId="0">
      <alignment vertical="top" wrapText="1"/>
    </xf>
    <xf numFmtId="0" fontId="1" fillId="2" borderId="21" applyAlignment="1" pivotButton="0" quotePrefix="0" xfId="0">
      <alignment horizontal="center" wrapText="1"/>
    </xf>
    <xf numFmtId="0" fontId="1" fillId="2" borderId="21" applyAlignment="1" pivotButton="0" quotePrefix="0" xfId="0">
      <alignment horizontal="center" wrapText="1"/>
    </xf>
    <xf numFmtId="0" fontId="1" fillId="2" borderId="31" applyAlignment="1" pivotButton="0" quotePrefix="0" xfId="0">
      <alignment horizontal="center" wrapText="1"/>
    </xf>
    <xf numFmtId="0" fontId="1" fillId="2" borderId="23" applyAlignment="1" pivotButton="0" quotePrefix="0" xfId="0">
      <alignment horizontal="center" wrapText="1"/>
    </xf>
    <xf numFmtId="0" fontId="15" fillId="0" borderId="24" applyAlignment="1" pivotButton="0" quotePrefix="0" xfId="0">
      <alignment vertical="top" wrapText="1"/>
    </xf>
    <xf numFmtId="0" fontId="1" fillId="2" borderId="24" applyAlignment="1" pivotButton="0" quotePrefix="0" xfId="0">
      <alignment horizontal="center" wrapText="1"/>
    </xf>
    <xf numFmtId="0" fontId="1" fillId="2" borderId="24" applyAlignment="1" pivotButton="0" quotePrefix="0" xfId="0">
      <alignment horizontal="center" wrapText="1"/>
    </xf>
    <xf numFmtId="0" fontId="1" fillId="2" borderId="32" applyAlignment="1" pivotButton="0" quotePrefix="0" xfId="0">
      <alignment horizontal="center" wrapText="1"/>
    </xf>
    <xf numFmtId="0" fontId="1" fillId="2" borderId="25" applyAlignment="1" pivotButton="0" quotePrefix="0" xfId="0">
      <alignment horizontal="center" wrapText="1"/>
    </xf>
    <xf numFmtId="0" fontId="1" fillId="2" borderId="33" applyAlignment="1" pivotButton="0" quotePrefix="0" xfId="0">
      <alignment wrapText="1"/>
    </xf>
    <xf numFmtId="0" fontId="1" fillId="2" borderId="33" applyAlignment="1" pivotButton="0" quotePrefix="0" xfId="0">
      <alignment horizontal="center" wrapText="1"/>
    </xf>
    <xf numFmtId="0" fontId="1" fillId="2" borderId="34" applyAlignment="1" pivotButton="0" quotePrefix="0" xfId="0">
      <alignment horizontal="center" wrapText="1"/>
    </xf>
    <xf numFmtId="0" fontId="16" fillId="3" borderId="35" applyAlignment="1" pivotButton="0" quotePrefix="0" xfId="0">
      <alignment horizontal="center" wrapText="1"/>
    </xf>
    <xf numFmtId="0" fontId="9" fillId="3" borderId="36" applyAlignment="1" pivotButton="0" quotePrefix="0" xfId="0">
      <alignment wrapText="1"/>
    </xf>
    <xf numFmtId="0" fontId="16" fillId="3" borderId="36" applyAlignment="1" pivotButton="0" quotePrefix="0" xfId="0">
      <alignment horizontal="center" wrapText="1"/>
    </xf>
    <xf numFmtId="0" fontId="16" fillId="3" borderId="36" applyAlignment="1" pivotButton="0" quotePrefix="0" xfId="0">
      <alignment horizontal="center" wrapText="1"/>
    </xf>
    <xf numFmtId="0" fontId="16" fillId="3" borderId="37" applyAlignment="1" pivotButton="0" quotePrefix="0" xfId="0">
      <alignment horizontal="center" wrapText="1"/>
    </xf>
    <xf numFmtId="0" fontId="1" fillId="2" borderId="4" applyAlignment="1" pivotButton="0" quotePrefix="0" xfId="0">
      <alignment horizontal="center"/>
    </xf>
    <xf numFmtId="10" fontId="1" fillId="2" borderId="4" applyAlignment="1" pivotButton="0" quotePrefix="0" xfId="0">
      <alignment horizontal="center"/>
    </xf>
    <xf numFmtId="9" fontId="1" fillId="2" borderId="4" applyAlignment="1" pivotButton="0" quotePrefix="0" xfId="0">
      <alignment horizontal="center"/>
    </xf>
    <xf numFmtId="2" fontId="17" fillId="2" borderId="4" applyAlignment="1" pivotButton="0" quotePrefix="0" xfId="0">
      <alignment horizontal="right" wrapText="1"/>
    </xf>
    <xf numFmtId="0" fontId="18" fillId="2" borderId="4" applyAlignment="1" pivotButton="0" quotePrefix="0" xfId="0">
      <alignment horizontal="center" wrapText="1"/>
    </xf>
    <xf numFmtId="0" fontId="19" fillId="2" borderId="4" pivotButton="0" quotePrefix="0" xfId="0"/>
    <xf numFmtId="0" fontId="7" fillId="2" borderId="38" applyAlignment="1" pivotButton="0" quotePrefix="0" xfId="0">
      <alignment horizontal="center" vertical="top" wrapText="1"/>
    </xf>
    <xf numFmtId="0" fontId="1" fillId="2" borderId="39" applyAlignment="1" pivotButton="0" quotePrefix="0" xfId="0">
      <alignment horizontal="left" vertical="top" wrapText="1"/>
    </xf>
    <xf numFmtId="0" fontId="4" fillId="0" borderId="40" pivotButton="0" quotePrefix="0" xfId="0"/>
    <xf numFmtId="0" fontId="4" fillId="0" borderId="41" pivotButton="0" quotePrefix="0" xfId="0"/>
    <xf numFmtId="0" fontId="6" fillId="2" borderId="4" applyAlignment="1" pivotButton="0" quotePrefix="0" xfId="0">
      <alignment horizontal="left" wrapText="1"/>
    </xf>
    <xf numFmtId="0" fontId="19" fillId="2" borderId="4" applyAlignment="1" pivotButton="0" quotePrefix="0" xfId="0">
      <alignment wrapText="1"/>
    </xf>
    <xf numFmtId="0" fontId="18" fillId="2" borderId="4" pivotButton="0" quotePrefix="0" xfId="0"/>
    <xf numFmtId="0" fontId="7" fillId="2" borderId="42" applyAlignment="1" pivotButton="0" quotePrefix="0" xfId="0">
      <alignment horizontal="center" vertical="top" wrapText="1"/>
    </xf>
    <xf numFmtId="0" fontId="1" fillId="2" borderId="1" applyAlignment="1" pivotButton="0" quotePrefix="0" xfId="0">
      <alignment horizontal="left" vertical="top" wrapText="1"/>
    </xf>
    <xf numFmtId="0" fontId="4" fillId="0" borderId="43" pivotButton="0" quotePrefix="0" xfId="0"/>
    <xf numFmtId="0" fontId="20" fillId="2" borderId="42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20" fillId="2" borderId="44" applyAlignment="1" pivotButton="0" quotePrefix="0" xfId="0">
      <alignment horizontal="center" vertical="top" wrapText="1"/>
    </xf>
    <xf numFmtId="0" fontId="12" fillId="2" borderId="4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wrapText="1"/>
    </xf>
    <xf numFmtId="0" fontId="19" fillId="2" borderId="4" applyAlignment="1" pivotButton="0" quotePrefix="0" xfId="0">
      <alignment horizontal="center" wrapText="1"/>
    </xf>
    <xf numFmtId="0" fontId="1" fillId="2" borderId="5" applyAlignment="1" pivotButton="0" quotePrefix="0" xfId="0">
      <alignment horizontal="center" vertical="top" wrapText="1"/>
    </xf>
    <xf numFmtId="0" fontId="1" fillId="2" borderId="44" applyAlignment="1" pivotButton="0" quotePrefix="0" xfId="0">
      <alignment horizontal="center" vertical="top" wrapText="1"/>
    </xf>
    <xf numFmtId="0" fontId="18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top" wrapText="1"/>
    </xf>
    <xf numFmtId="0" fontId="20" fillId="2" borderId="45" applyAlignment="1" pivotButton="0" quotePrefix="0" xfId="0">
      <alignment horizontal="center" vertical="top" wrapText="1"/>
    </xf>
    <xf numFmtId="0" fontId="1" fillId="2" borderId="46" applyAlignment="1" pivotButton="0" quotePrefix="0" xfId="0">
      <alignment horizontal="center" vertical="top" wrapText="1"/>
    </xf>
    <xf numFmtId="0" fontId="1" fillId="2" borderId="46" applyAlignment="1" pivotButton="0" quotePrefix="0" xfId="0">
      <alignment horizontal="center" vertical="top" wrapText="1"/>
    </xf>
    <xf numFmtId="0" fontId="1" fillId="2" borderId="47" applyAlignment="1" pivotButton="0" quotePrefix="0" xfId="0">
      <alignment horizontal="center" vertical="top" wrapText="1"/>
    </xf>
    <xf numFmtId="0" fontId="9" fillId="5" borderId="5" applyAlignment="1" pivotButton="0" quotePrefix="0" xfId="0">
      <alignment horizontal="center" vertical="center" wrapText="1"/>
    </xf>
    <xf numFmtId="0" fontId="13" fillId="2" borderId="4" applyAlignment="1" pivotButton="0" quotePrefix="0" xfId="0">
      <alignment horizontal="center" vertical="center" wrapText="1"/>
    </xf>
    <xf numFmtId="0" fontId="7" fillId="6" borderId="48" applyAlignment="1" pivotButton="0" quotePrefix="0" xfId="0">
      <alignment horizontal="left" vertical="center"/>
    </xf>
    <xf numFmtId="0" fontId="7" fillId="6" borderId="48" applyAlignment="1" pivotButton="0" quotePrefix="0" xfId="0">
      <alignment horizontal="left" vertical="center"/>
    </xf>
    <xf numFmtId="0" fontId="7" fillId="6" borderId="49" applyAlignment="1" pivotButton="0" quotePrefix="0" xfId="0">
      <alignment horizontal="left" vertical="center"/>
    </xf>
    <xf numFmtId="0" fontId="7" fillId="6" borderId="50" applyAlignment="1" pivotButton="0" quotePrefix="0" xfId="0">
      <alignment horizontal="left" vertical="center"/>
    </xf>
    <xf numFmtId="0" fontId="13" fillId="2" borderId="4" applyAlignment="1" pivotButton="0" quotePrefix="0" xfId="0">
      <alignment horizontal="left" vertical="center"/>
    </xf>
    <xf numFmtId="0" fontId="18" fillId="2" borderId="5" applyAlignment="1" pivotButton="0" quotePrefix="0" xfId="0">
      <alignment horizontal="left" vertical="top" wrapText="1"/>
    </xf>
    <xf numFmtId="0" fontId="1" fillId="2" borderId="5" applyAlignment="1" pivotButton="0" quotePrefix="0" xfId="0">
      <alignment horizontal="left" vertical="top" wrapText="1"/>
    </xf>
    <xf numFmtId="164" fontId="1" fillId="2" borderId="5" applyAlignment="1" pivotButton="0" quotePrefix="0" xfId="0">
      <alignment horizontal="left" vertical="top" wrapText="1"/>
    </xf>
    <xf numFmtId="0" fontId="1" fillId="2" borderId="5" applyAlignment="1" pivotButton="0" quotePrefix="0" xfId="0">
      <alignment horizontal="left" vertical="top" wrapText="1"/>
    </xf>
    <xf numFmtId="0" fontId="18" fillId="2" borderId="22" applyAlignment="1" pivotButton="0" quotePrefix="0" xfId="0">
      <alignment vertical="top"/>
    </xf>
    <xf numFmtId="0" fontId="19" fillId="2" borderId="4" applyAlignment="1" pivotButton="0" quotePrefix="0" xfId="0">
      <alignment vertical="top" wrapText="1"/>
    </xf>
    <xf numFmtId="0" fontId="18" fillId="2" borderId="4" applyAlignment="1" pivotButton="0" quotePrefix="0" xfId="0">
      <alignment vertical="top"/>
    </xf>
    <xf numFmtId="0" fontId="15" fillId="6" borderId="5" applyAlignment="1" pivotButton="0" quotePrefix="0" xfId="0">
      <alignment horizontal="left" vertical="top"/>
    </xf>
    <xf numFmtId="0" fontId="15" fillId="6" borderId="5" applyAlignment="1" pivotButton="0" quotePrefix="0" xfId="0">
      <alignment horizontal="left" vertical="top"/>
    </xf>
    <xf numFmtId="0" fontId="18" fillId="2" borderId="22" pivotButton="0" quotePrefix="0" xfId="0"/>
    <xf numFmtId="0" fontId="15" fillId="0" borderId="5" applyAlignment="1" pivotButton="0" quotePrefix="0" xfId="0">
      <alignment horizontal="left" vertical="top"/>
    </xf>
    <xf numFmtId="0" fontId="15" fillId="0" borderId="5" applyAlignment="1" pivotButton="0" quotePrefix="0" xfId="0">
      <alignment horizontal="left" vertical="top"/>
    </xf>
    <xf numFmtId="0" fontId="1" fillId="2" borderId="51" pivotButton="0" quotePrefix="0" xfId="0"/>
    <xf numFmtId="0" fontId="1" fillId="2" borderId="39" applyAlignment="1" pivotButton="0" quotePrefix="0" xfId="0">
      <alignment horizontal="left" vertical="top" wrapText="1"/>
    </xf>
    <xf numFmtId="0" fontId="1" fillId="2" borderId="1" applyAlignment="1" pivotButton="0" quotePrefix="0" xfId="0">
      <alignment horizontal="left" vertical="top" wrapText="1"/>
    </xf>
    <xf numFmtId="0" fontId="21" fillId="0" borderId="5" applyAlignment="1" pivotButton="0" quotePrefix="0" xfId="0">
      <alignment vertical="top" wrapText="1"/>
    </xf>
    <xf numFmtId="0" fontId="21" fillId="0" borderId="5" applyAlignment="1" pivotButton="0" quotePrefix="0" xfId="0">
      <alignment vertical="top" wrapText="1"/>
    </xf>
    <xf numFmtId="0" fontId="0" fillId="0" borderId="0" pivotButton="0" quotePrefix="0" xfId="0"/>
    <xf numFmtId="0" fontId="3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8" fillId="0" borderId="5" applyAlignment="1" pivotButton="0" quotePrefix="0" xfId="0">
      <alignment horizontal="left" vertical="center" wrapText="1"/>
    </xf>
    <xf numFmtId="165" fontId="24" fillId="0" borderId="58" applyAlignment="1" pivotButton="0" quotePrefix="0" xfId="0">
      <alignment horizontal="center" vertical="center" wrapText="1"/>
    </xf>
    <xf numFmtId="49" fontId="24" fillId="0" borderId="58" applyAlignment="1" pivotButton="0" quotePrefix="0" xfId="0">
      <alignment horizontal="center" vertical="center" wrapText="1"/>
    </xf>
    <xf numFmtId="0" fontId="24" fillId="0" borderId="58" applyAlignment="1" pivotButton="0" quotePrefix="0" xfId="0">
      <alignment horizontal="left" vertical="center" wrapText="1"/>
    </xf>
    <xf numFmtId="0" fontId="24" fillId="0" borderId="58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left"/>
    </xf>
    <xf numFmtId="1" fontId="5" fillId="2" borderId="5" applyAlignment="1" pivotButton="0" quotePrefix="0" xfId="0">
      <alignment vertical="center" wrapText="1"/>
    </xf>
    <xf numFmtId="0" fontId="6" fillId="2" borderId="5" applyAlignment="1" pivotButton="0" quotePrefix="0" xfId="0">
      <alignment vertical="top" wrapText="1"/>
    </xf>
    <xf numFmtId="166" fontId="1" fillId="2" borderId="25" applyAlignment="1" pivotButton="0" quotePrefix="0" xfId="0">
      <alignment vertical="center"/>
    </xf>
    <xf numFmtId="0" fontId="14" fillId="2" borderId="0" pivotButton="0" quotePrefix="0" xfId="0"/>
    <xf numFmtId="0" fontId="6" fillId="2" borderId="5" applyAlignment="1" pivotButton="0" quotePrefix="0" xfId="0">
      <alignment horizontal="left" wrapText="1"/>
    </xf>
    <xf numFmtId="0" fontId="5" fillId="2" borderId="5" applyAlignment="1" pivotButton="0" quotePrefix="0" xfId="0">
      <alignment horizontal="left" wrapText="1"/>
    </xf>
    <xf numFmtId="166" fontId="1" fillId="2" borderId="23" applyAlignment="1" pivotButton="0" quotePrefix="0" xfId="0">
      <alignment horizontal="center" wrapText="1"/>
    </xf>
    <xf numFmtId="0" fontId="15" fillId="2" borderId="24" applyAlignment="1" pivotButton="0" quotePrefix="0" xfId="0">
      <alignment vertical="top" wrapText="1"/>
    </xf>
    <xf numFmtId="0" fontId="1" fillId="2" borderId="24" applyAlignment="1" pivotButton="0" quotePrefix="0" xfId="0">
      <alignment horizontal="center" wrapText="1"/>
    </xf>
    <xf numFmtId="0" fontId="1" fillId="2" borderId="32" applyAlignment="1" pivotButton="0" quotePrefix="0" xfId="0">
      <alignment horizontal="center" wrapText="1"/>
    </xf>
    <xf numFmtId="166" fontId="1" fillId="3" borderId="23" applyAlignment="1" pivotButton="0" quotePrefix="0" xfId="0">
      <alignment horizontal="center" wrapText="1"/>
    </xf>
    <xf numFmtId="0" fontId="15" fillId="3" borderId="24" applyAlignment="1" pivotButton="0" quotePrefix="0" xfId="0">
      <alignment vertical="top" wrapText="1"/>
    </xf>
    <xf numFmtId="0" fontId="1" fillId="3" borderId="24" applyAlignment="1" pivotButton="0" quotePrefix="0" xfId="0">
      <alignment horizontal="center" wrapText="1"/>
    </xf>
    <xf numFmtId="0" fontId="1" fillId="3" borderId="32" applyAlignment="1" pivotButton="0" quotePrefix="0" xfId="0">
      <alignment horizontal="center" wrapText="1"/>
    </xf>
    <xf numFmtId="10" fontId="1" fillId="2" borderId="24" applyAlignment="1" pivotButton="0" quotePrefix="0" xfId="0">
      <alignment horizontal="center" wrapText="1"/>
    </xf>
    <xf numFmtId="9" fontId="1" fillId="2" borderId="24" applyAlignment="1" pivotButton="0" quotePrefix="0" xfId="0">
      <alignment horizontal="center" wrapText="1"/>
    </xf>
    <xf numFmtId="9" fontId="1" fillId="2" borderId="32" applyAlignment="1" pivotButton="0" quotePrefix="0" xfId="0">
      <alignment horizontal="center" wrapText="1"/>
    </xf>
    <xf numFmtId="2" fontId="1" fillId="2" borderId="24" applyAlignment="1" pivotButton="0" quotePrefix="0" xfId="0">
      <alignment horizontal="center" wrapText="1"/>
    </xf>
    <xf numFmtId="0" fontId="15" fillId="2" borderId="4" applyAlignment="1" pivotButton="0" quotePrefix="0" xfId="0">
      <alignment vertical="top" wrapText="1"/>
    </xf>
    <xf numFmtId="0" fontId="1" fillId="2" borderId="4" applyAlignment="1" pivotButton="0" quotePrefix="0" xfId="0">
      <alignment horizontal="center" wrapText="1"/>
    </xf>
    <xf numFmtId="0" fontId="1" fillId="2" borderId="54" applyAlignment="1" pivotButton="0" quotePrefix="0" xfId="0">
      <alignment horizontal="left" vertical="top" wrapText="1"/>
    </xf>
    <xf numFmtId="0" fontId="0" fillId="0" borderId="40" pivotButton="0" quotePrefix="0" xfId="0"/>
    <xf numFmtId="0" fontId="0" fillId="0" borderId="41" pivotButton="0" quotePrefix="0" xfId="0"/>
    <xf numFmtId="0" fontId="1" fillId="2" borderId="44" applyAlignment="1" pivotButton="0" quotePrefix="0" xfId="0">
      <alignment horizontal="left" vertical="top" wrapText="1"/>
    </xf>
    <xf numFmtId="0" fontId="0" fillId="0" borderId="43" pivotButton="0" quotePrefix="0" xfId="0"/>
    <xf numFmtId="0" fontId="7" fillId="2" borderId="38" applyAlignment="1" pivotButton="0" quotePrefix="0" xfId="0">
      <alignment horizontal="center" vertical="top" wrapText="1"/>
    </xf>
    <xf numFmtId="0" fontId="1" fillId="2" borderId="54" applyAlignment="1" pivotButton="0" quotePrefix="0" xfId="0">
      <alignment horizontal="left" vertical="top" wrapText="1"/>
    </xf>
    <xf numFmtId="0" fontId="6" fillId="2" borderId="4" applyAlignment="1" pivotButton="0" quotePrefix="0" xfId="0">
      <alignment wrapText="1"/>
    </xf>
    <xf numFmtId="0" fontId="6" fillId="2" borderId="4" applyAlignment="1" pivotButton="0" quotePrefix="0" xfId="0">
      <alignment horizontal="left" wrapText="1"/>
    </xf>
    <xf numFmtId="0" fontId="1" fillId="2" borderId="4" applyAlignment="1" pivotButton="0" quotePrefix="0" xfId="0">
      <alignment wrapText="1"/>
    </xf>
    <xf numFmtId="0" fontId="19" fillId="2" borderId="4" applyAlignment="1" pivotButton="0" quotePrefix="0" xfId="0">
      <alignment wrapText="1"/>
    </xf>
    <xf numFmtId="0" fontId="7" fillId="2" borderId="42" applyAlignment="1" pivotButton="0" quotePrefix="0" xfId="0">
      <alignment horizontal="center" vertical="top" wrapText="1"/>
    </xf>
    <xf numFmtId="0" fontId="1" fillId="2" borderId="44" applyAlignment="1" pivotButton="0" quotePrefix="0" xfId="0">
      <alignment horizontal="left" vertical="top" wrapText="1"/>
    </xf>
    <xf numFmtId="0" fontId="20" fillId="2" borderId="42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20" fillId="2" borderId="44" applyAlignment="1" pivotButton="0" quotePrefix="0" xfId="0">
      <alignment horizontal="center" vertical="top" wrapText="1"/>
    </xf>
    <xf numFmtId="0" fontId="12" fillId="2" borderId="4" applyAlignment="1" pivotButton="0" quotePrefix="0" xfId="0">
      <alignment horizontal="center" vertical="center" wrapText="1"/>
    </xf>
    <xf numFmtId="0" fontId="19" fillId="2" borderId="4" applyAlignment="1" pivotButton="0" quotePrefix="0" xfId="0">
      <alignment horizontal="center" wrapText="1"/>
    </xf>
    <xf numFmtId="0" fontId="1" fillId="2" borderId="5" applyAlignment="1" pivotButton="0" quotePrefix="0" xfId="0">
      <alignment horizontal="center" vertical="top" wrapText="1"/>
    </xf>
    <xf numFmtId="0" fontId="1" fillId="2" borderId="44" applyAlignment="1" pivotButton="0" quotePrefix="0" xfId="0">
      <alignment horizontal="center" vertical="top" wrapText="1"/>
    </xf>
    <xf numFmtId="0" fontId="18" fillId="2" borderId="4" applyAlignment="1" pivotButton="0" quotePrefix="0" xfId="0">
      <alignment horizontal="center" vertical="center" wrapText="1"/>
    </xf>
    <xf numFmtId="0" fontId="20" fillId="2" borderId="45" applyAlignment="1" pivotButton="0" quotePrefix="0" xfId="0">
      <alignment horizontal="center" vertical="top" wrapText="1"/>
    </xf>
    <xf numFmtId="0" fontId="1" fillId="2" borderId="46" applyAlignment="1" pivotButton="0" quotePrefix="0" xfId="0">
      <alignment horizontal="center" vertical="top" wrapText="1"/>
    </xf>
    <xf numFmtId="0" fontId="1" fillId="2" borderId="47" applyAlignment="1" pivotButton="0" quotePrefix="0" xfId="0">
      <alignment horizontal="center" vertical="top" wrapText="1"/>
    </xf>
    <xf numFmtId="0" fontId="18" fillId="2" borderId="4" applyAlignment="1" pivotButton="0" quotePrefix="0" xfId="0">
      <alignment horizontal="center" wrapText="1"/>
    </xf>
    <xf numFmtId="0" fontId="9" fillId="5" borderId="5" applyAlignment="1" pivotButton="0" quotePrefix="0" xfId="0">
      <alignment horizontal="center" vertical="center" wrapText="1"/>
    </xf>
    <xf numFmtId="0" fontId="13" fillId="2" borderId="4" applyAlignment="1" pivotButton="0" quotePrefix="0" xfId="0">
      <alignment horizontal="center" vertical="center" wrapText="1"/>
    </xf>
    <xf numFmtId="0" fontId="22" fillId="7" borderId="58" pivotButton="0" quotePrefix="0" xfId="0"/>
    <xf numFmtId="0" fontId="23" fillId="0" borderId="58" applyAlignment="1" pivotButton="0" quotePrefix="0" xfId="0">
      <alignment horizontal="center" vertical="center" wrapText="1"/>
    </xf>
    <xf numFmtId="0" fontId="23" fillId="0" borderId="58" applyAlignment="1" pivotButton="0" quotePrefix="0" xfId="0">
      <alignment horizontal="left" vertical="top" wrapText="1"/>
    </xf>
    <xf numFmtId="165" fontId="23" fillId="0" borderId="58" applyAlignment="1" pivotButton="0" quotePrefix="0" xfId="0">
      <alignment horizontal="center" vertical="center" wrapText="1"/>
    </xf>
    <xf numFmtId="165" fontId="24" fillId="0" borderId="58" applyAlignment="1" pivotButton="0" quotePrefix="0" xfId="0">
      <alignment horizontal="center" vertical="center" wrapText="1"/>
    </xf>
    <xf numFmtId="1" fontId="1" fillId="0" borderId="0" pivotButton="0" quotePrefix="0" xfId="0"/>
    <xf numFmtId="166" fontId="1" fillId="2" borderId="23" applyAlignment="1" pivotButton="0" quotePrefix="0" xfId="0">
      <alignment horizontal="center" wrapText="1"/>
    </xf>
    <xf numFmtId="166" fontId="1" fillId="3" borderId="23" applyAlignment="1" pivotButton="0" quotePrefix="0" xfId="0">
      <alignment horizontal="center" wrapText="1"/>
    </xf>
    <xf numFmtId="167" fontId="15" fillId="0" borderId="5" applyAlignment="1" pivotButton="0" quotePrefix="0" xfId="0">
      <alignment horizontal="left" vertical="top"/>
    </xf>
    <xf numFmtId="167" fontId="21" fillId="0" borderId="5" applyAlignment="1" pivotButton="0" quotePrefix="0" xfId="0">
      <alignment vertical="top" wrapText="1"/>
    </xf>
    <xf numFmtId="0" fontId="0" fillId="0" borderId="61" pivotButton="0" quotePrefix="0" xfId="0"/>
    <xf numFmtId="0" fontId="0" fillId="0" borderId="62" pivotButton="0" quotePrefix="0" xfId="0"/>
    <xf numFmtId="165" fontId="23" fillId="0" borderId="5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>======
ID#AAAB7BufrOY
None    (2026-05-12 01:25:31)
*A: Add
  M: Modify
  D: Delete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E10" authorId="0" shapeId="0">
      <text>
        <t>======
ID#AAAB7BufrOc
tqsang    (2026-05-12 01:25:31)
List all test cases (must run before this case), conditions that must be done, or required state that the system should be in before performing this case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E10" authorId="0" shapeId="0">
      <text>
        <t>======
ID#AAAB7BufrOg
tqsang    (2026-05-12 01:25:31)
List all test cases (must run before this case), conditions that must be done, or required state that the system should be in before performing this case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showGridLines="0" workbookViewId="0">
      <selection activeCell="A1" sqref="A1"/>
    </sheetView>
  </sheetViews>
  <sheetFormatPr baseColWidth="8" defaultColWidth="12.63" defaultRowHeight="15" customHeight="1"/>
  <cols>
    <col width="28.13" customWidth="1" style="165" min="1" max="1"/>
    <col width="10" customWidth="1" style="165" min="2" max="2"/>
    <col width="14.38" customWidth="1" style="165" min="3" max="3"/>
    <col width="8" customWidth="1" style="165" min="4" max="4"/>
    <col width="38" customWidth="1" style="165" min="5" max="5"/>
    <col width="48.13" customWidth="1" style="165" min="6" max="6"/>
    <col width="9" customWidth="1" style="165" min="7" max="26"/>
  </cols>
  <sheetData>
    <row r="1" ht="12.75" customHeight="1" s="165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75.75" customHeight="1" s="165">
      <c r="A2" s="3" t="n"/>
      <c r="B2" s="166" t="inlineStr">
        <is>
          <t>SYSTEM TEST REPORT DOCUMENT</t>
        </is>
      </c>
      <c r="C2" s="167" t="n"/>
      <c r="D2" s="167" t="n"/>
      <c r="E2" s="167" t="n"/>
      <c r="F2" s="168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12.75" customHeight="1" s="165">
      <c r="A3" s="8" t="n"/>
      <c r="B3" s="9" t="n"/>
      <c r="C3" s="2" t="n"/>
      <c r="D3" s="2" t="n"/>
      <c r="E3" s="10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4.25" customHeight="1" s="165">
      <c r="A4" s="11" t="inlineStr">
        <is>
          <t>Project Name</t>
        </is>
      </c>
      <c r="B4" s="169" t="inlineStr">
        <is>
          <t>Website bán Laptop</t>
        </is>
      </c>
      <c r="C4" s="167" t="n"/>
      <c r="D4" s="168" t="n"/>
      <c r="E4" s="11" t="inlineStr">
        <is>
          <t>Creator</t>
        </is>
      </c>
      <c r="F4" s="13" t="inlineStr">
        <is>
          <t>LUCTV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4.25" customHeight="1" s="165">
      <c r="A5" s="11" t="inlineStr">
        <is>
          <t>Project Code</t>
        </is>
      </c>
      <c r="B5" s="169" t="inlineStr">
        <is>
          <t>SWP391</t>
        </is>
      </c>
      <c r="C5" s="167" t="n"/>
      <c r="D5" s="168" t="n"/>
      <c r="E5" s="11" t="inlineStr">
        <is>
          <t>Issue Date</t>
        </is>
      </c>
      <c r="F5" s="15" t="n">
        <v>46181</v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5.75" customHeight="1" s="165">
      <c r="A6" s="11" t="inlineStr">
        <is>
          <t>Document Code</t>
        </is>
      </c>
      <c r="B6" s="169">
        <f>B5&amp;"_"&amp;"Test Report"</f>
        <v/>
      </c>
      <c r="C6" s="167" t="n"/>
      <c r="D6" s="168" t="n"/>
      <c r="E6" s="11" t="inlineStr">
        <is>
          <t>Version</t>
        </is>
      </c>
      <c r="F6" s="16" t="inlineStr">
        <is>
          <t>v0.1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2.75" customHeight="1" s="165">
      <c r="A7" s="17" t="n"/>
      <c r="B7" s="18" t="n"/>
      <c r="C7" s="19" t="n"/>
      <c r="D7" s="19" t="n"/>
      <c r="E7" s="20" t="n"/>
      <c r="F7" s="18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2.75" customHeight="1" s="165">
      <c r="A8" s="19" t="n"/>
      <c r="B8" s="19" t="n"/>
      <c r="C8" s="19" t="n"/>
      <c r="D8" s="19" t="n"/>
      <c r="E8" s="19" t="n"/>
      <c r="F8" s="19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2.75" customHeight="1" s="165">
      <c r="A9" s="17" t="inlineStr">
        <is>
          <t>Record of change</t>
        </is>
      </c>
      <c r="B9" s="19" t="n"/>
      <c r="C9" s="19" t="n"/>
      <c r="D9" s="19" t="n"/>
      <c r="E9" s="19" t="n"/>
      <c r="F9" s="19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2.75" customHeight="1" s="165">
      <c r="A10" s="21" t="inlineStr">
        <is>
          <t>Effective Date</t>
        </is>
      </c>
      <c r="B10" s="22" t="inlineStr">
        <is>
          <t>Version</t>
        </is>
      </c>
      <c r="C10" s="22" t="inlineStr">
        <is>
          <t>Change Item</t>
        </is>
      </c>
      <c r="D10" s="22" t="inlineStr">
        <is>
          <t>*A,D,M</t>
        </is>
      </c>
      <c r="E10" s="22" t="inlineStr">
        <is>
          <t>Change description</t>
        </is>
      </c>
      <c r="F10" s="23" t="inlineStr">
        <is>
          <t>Reference</t>
        </is>
      </c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>
      <c r="A11" s="25" t="n">
        <v>46181</v>
      </c>
      <c r="B11" s="26" t="inlineStr">
        <is>
          <t>v0.1</t>
        </is>
      </c>
      <c r="C11" s="27" t="inlineStr">
        <is>
          <t>Iteration 1 system test</t>
        </is>
      </c>
      <c r="D11" s="28" t="inlineStr">
        <is>
          <t>A</t>
        </is>
      </c>
      <c r="E11" s="27" t="inlineStr">
        <is>
          <t>Create test cases for Iteration 1 functions only.</t>
        </is>
      </c>
      <c r="F11" s="29" t="inlineStr">
        <is>
          <t>Project Tracking/ UC Specification</t>
        </is>
      </c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19.5" customHeight="1" s="165">
      <c r="A12" s="226" t="n">
        <v>46199</v>
      </c>
      <c r="B12" s="171" t="inlineStr">
        <is>
          <t>v0.2</t>
        </is>
      </c>
      <c r="C12" s="172" t="inlineStr">
        <is>
          <t>Iteration 2 system test</t>
        </is>
      </c>
      <c r="D12" s="173" t="inlineStr">
        <is>
          <t>A</t>
        </is>
      </c>
      <c r="E12" s="172" t="inlineStr">
        <is>
          <t>Add test cases for Iteration 2 user and account management functions.</t>
        </is>
      </c>
      <c r="F12" s="172" t="inlineStr">
        <is>
          <t>Project Tracking / UC Specification</t>
        </is>
      </c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</row>
    <row r="13" ht="21.75" customHeight="1" s="165">
      <c r="A13" s="31" t="n"/>
      <c r="B13" s="32" t="n"/>
      <c r="C13" s="33" t="n"/>
      <c r="D13" s="33" t="n"/>
      <c r="E13" s="33" t="n"/>
      <c r="F13" s="34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19.5" customHeight="1" s="165">
      <c r="A14" s="31" t="n"/>
      <c r="B14" s="32" t="n"/>
      <c r="C14" s="33" t="n"/>
      <c r="D14" s="33" t="n"/>
      <c r="E14" s="33" t="n"/>
      <c r="F14" s="34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</row>
    <row r="15" ht="21.75" customHeight="1" s="165">
      <c r="A15" s="31" t="n"/>
      <c r="B15" s="32" t="n"/>
      <c r="C15" s="33" t="n"/>
      <c r="D15" s="33" t="n"/>
      <c r="E15" s="33" t="n"/>
      <c r="F15" s="34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19.5" customHeight="1" s="165">
      <c r="A16" s="35" t="n"/>
      <c r="B16" s="36" t="n"/>
      <c r="C16" s="37" t="n"/>
      <c r="D16" s="37" t="n"/>
      <c r="E16" s="37" t="n"/>
      <c r="F16" s="38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</row>
    <row r="17" ht="12.75" customHeight="1" s="165">
      <c r="A17" s="1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.75" customHeight="1" s="165">
      <c r="A18" s="1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.75" customHeight="1" s="165">
      <c r="A19" s="1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2.75" customHeight="1" s="165">
      <c r="A20" s="1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2.75" customHeight="1" s="165">
      <c r="A21" s="1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2.75" customHeight="1" s="165">
      <c r="A22" s="1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2.75" customHeight="1" s="165">
      <c r="A23" s="1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2.75" customHeight="1" s="165">
      <c r="A24" s="1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2.75" customHeight="1" s="165">
      <c r="A25" s="1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2.75" customHeight="1" s="165">
      <c r="A26" s="1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2.75" customHeight="1" s="165">
      <c r="A27" s="1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2.75" customHeight="1" s="165">
      <c r="A28" s="1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2.75" customHeight="1" s="165">
      <c r="A29" s="1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2.75" customHeight="1" s="165">
      <c r="A30" s="1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2.75" customHeight="1" s="165">
      <c r="A31" s="1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2.75" customHeight="1" s="165">
      <c r="A32" s="1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2.75" customHeight="1" s="165">
      <c r="A33" s="1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2.75" customHeight="1" s="165">
      <c r="A34" s="1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2.75" customHeight="1" s="165">
      <c r="A35" s="1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2.75" customHeight="1" s="165">
      <c r="A36" s="1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2.75" customHeight="1" s="165">
      <c r="A37" s="1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2.75" customHeight="1" s="165">
      <c r="A38" s="1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2.75" customHeight="1" s="165">
      <c r="A39" s="1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2.75" customHeight="1" s="165">
      <c r="A40" s="1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2.75" customHeight="1" s="165">
      <c r="A41" s="1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2.75" customHeight="1" s="165">
      <c r="A42" s="1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2.75" customHeight="1" s="165">
      <c r="A43" s="1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2.75" customHeight="1" s="165">
      <c r="A44" s="1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2.75" customHeight="1" s="165">
      <c r="A45" s="1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2.75" customHeight="1" s="165">
      <c r="A46" s="1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 s="165">
      <c r="A47" s="1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 s="165">
      <c r="A48" s="1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2.75" customHeight="1" s="165">
      <c r="A49" s="1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2.75" customHeight="1" s="165">
      <c r="A50" s="1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2.75" customHeight="1" s="165">
      <c r="A51" s="1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2.75" customHeight="1" s="165">
      <c r="A52" s="1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2.75" customHeight="1" s="165">
      <c r="A53" s="1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2.75" customHeight="1" s="165">
      <c r="A54" s="1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2.75" customHeight="1" s="165">
      <c r="A55" s="1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2.75" customHeight="1" s="165">
      <c r="A56" s="1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2.75" customHeight="1" s="165">
      <c r="A57" s="1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2.75" customHeight="1" s="165">
      <c r="A58" s="1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2.75" customHeight="1" s="165">
      <c r="A59" s="1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2.75" customHeight="1" s="165">
      <c r="A60" s="1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2.75" customHeight="1" s="165">
      <c r="A61" s="1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2.75" customHeight="1" s="165">
      <c r="A62" s="1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 s="165">
      <c r="A63" s="1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 s="165">
      <c r="A64" s="1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 s="165">
      <c r="A65" s="1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 s="165">
      <c r="A66" s="1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 s="165">
      <c r="A67" s="1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 s="165">
      <c r="A68" s="1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 s="165">
      <c r="A69" s="1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 s="165">
      <c r="A70" s="1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 s="165">
      <c r="A71" s="1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 s="165">
      <c r="A72" s="1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 s="165">
      <c r="A73" s="1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 s="165">
      <c r="A74" s="1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 s="165">
      <c r="A75" s="1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 s="165">
      <c r="A76" s="1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 s="165">
      <c r="A77" s="1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 s="165">
      <c r="A78" s="1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 s="165">
      <c r="A79" s="1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 s="165">
      <c r="A80" s="1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 s="165">
      <c r="A81" s="1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 s="165">
      <c r="A82" s="1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 s="165">
      <c r="A83" s="1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 s="165">
      <c r="A84" s="1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 s="165">
      <c r="A85" s="1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 s="165">
      <c r="A86" s="1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 s="165">
      <c r="A87" s="1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 s="165">
      <c r="A88" s="1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 s="165">
      <c r="A89" s="1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 s="165">
      <c r="A90" s="1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 s="165">
      <c r="A91" s="1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 s="165">
      <c r="A92" s="1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 s="165">
      <c r="A93" s="1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 s="165">
      <c r="A94" s="1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 s="165">
      <c r="A95" s="1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 s="165">
      <c r="A96" s="1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 s="165">
      <c r="A97" s="1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 s="165">
      <c r="A98" s="1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 s="165">
      <c r="A99" s="1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 s="165">
      <c r="A100" s="1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 s="165">
      <c r="A101" s="1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 s="165">
      <c r="A102" s="1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 s="165">
      <c r="A103" s="1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 s="165">
      <c r="A104" s="1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 s="165">
      <c r="A105" s="1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 s="165">
      <c r="A106" s="1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 s="165">
      <c r="A107" s="1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 s="165">
      <c r="A108" s="1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 s="165">
      <c r="A109" s="1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 s="165">
      <c r="A110" s="1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 s="165">
      <c r="A111" s="1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 s="165">
      <c r="A112" s="1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 s="165">
      <c r="A113" s="1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 s="165">
      <c r="A114" s="1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 s="165">
      <c r="A115" s="1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 s="165">
      <c r="A116" s="1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 s="165">
      <c r="A117" s="1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 s="165">
      <c r="A118" s="1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 s="165">
      <c r="A119" s="1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 s="165">
      <c r="A120" s="1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 s="165">
      <c r="A121" s="1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 s="165">
      <c r="A122" s="1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 s="165">
      <c r="A123" s="1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 s="165">
      <c r="A124" s="1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 s="165">
      <c r="A125" s="1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 s="165">
      <c r="A126" s="1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 s="165">
      <c r="A127" s="1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 s="165">
      <c r="A128" s="1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 s="165">
      <c r="A129" s="1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 s="165">
      <c r="A130" s="1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 s="165">
      <c r="A131" s="1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 s="165">
      <c r="A132" s="1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 s="165">
      <c r="A133" s="1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 s="165">
      <c r="A134" s="1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 s="165">
      <c r="A135" s="1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 s="165">
      <c r="A136" s="1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 s="165">
      <c r="A137" s="1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 s="165">
      <c r="A138" s="1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 s="165">
      <c r="A139" s="1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 s="165">
      <c r="A140" s="1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 s="165">
      <c r="A141" s="1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 s="165">
      <c r="A142" s="1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 s="165">
      <c r="A143" s="1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 s="165">
      <c r="A144" s="1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 s="165">
      <c r="A145" s="1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 s="165">
      <c r="A146" s="1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 s="165">
      <c r="A147" s="1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 s="165">
      <c r="A148" s="1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 s="165">
      <c r="A149" s="1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 s="165">
      <c r="A150" s="1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 s="165">
      <c r="A151" s="1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 s="165">
      <c r="A152" s="1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 s="165">
      <c r="A153" s="1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 s="165">
      <c r="A154" s="1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 s="165">
      <c r="A155" s="1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 s="165">
      <c r="A156" s="1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 s="165">
      <c r="A157" s="1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 s="165">
      <c r="A158" s="1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 s="165">
      <c r="A159" s="1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 s="165">
      <c r="A160" s="1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 s="165">
      <c r="A161" s="1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 s="165">
      <c r="A162" s="1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 s="165">
      <c r="A163" s="1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 s="165">
      <c r="A164" s="1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 s="165">
      <c r="A165" s="1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 s="165">
      <c r="A166" s="1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 s="165">
      <c r="A167" s="1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 s="165">
      <c r="A168" s="1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 s="165">
      <c r="A169" s="1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 s="165">
      <c r="A170" s="1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 s="165">
      <c r="A171" s="1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 s="165">
      <c r="A172" s="1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 s="165">
      <c r="A173" s="1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 s="165">
      <c r="A174" s="1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 s="165">
      <c r="A175" s="1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 s="165">
      <c r="A176" s="1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 s="165">
      <c r="A177" s="1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 s="165">
      <c r="A178" s="1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 s="165">
      <c r="A179" s="1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 s="165">
      <c r="A180" s="1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 s="165">
      <c r="A181" s="1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 s="165">
      <c r="A182" s="1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 s="165">
      <c r="A183" s="1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 s="165">
      <c r="A184" s="1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 s="165">
      <c r="A185" s="1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 s="165">
      <c r="A186" s="1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 s="165">
      <c r="A187" s="1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 s="165">
      <c r="A188" s="1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 s="165">
      <c r="A189" s="1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 s="165">
      <c r="A190" s="1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 s="165">
      <c r="A191" s="1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 s="165">
      <c r="A192" s="1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 s="165">
      <c r="A193" s="1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 s="165">
      <c r="A194" s="1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 s="165">
      <c r="A195" s="1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 s="165">
      <c r="A196" s="1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 s="165">
      <c r="A197" s="1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 s="165">
      <c r="A198" s="1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 s="165">
      <c r="A199" s="1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 s="165">
      <c r="A200" s="1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 s="165">
      <c r="A201" s="1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 s="165">
      <c r="A202" s="1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 s="165">
      <c r="A203" s="1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 s="165">
      <c r="A204" s="1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 s="165">
      <c r="A205" s="1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 s="165">
      <c r="A206" s="1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 s="165">
      <c r="A207" s="1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 s="165">
      <c r="A208" s="1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 s="165">
      <c r="A209" s="1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 s="165">
      <c r="A210" s="1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 s="165">
      <c r="A211" s="1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 s="165">
      <c r="A212" s="1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 s="165">
      <c r="A213" s="1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 s="165">
      <c r="A214" s="1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 s="165">
      <c r="A215" s="1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 s="165">
      <c r="A216" s="1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 s="165">
      <c r="A217" s="1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 s="165">
      <c r="A218" s="1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 s="165">
      <c r="A219" s="1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65"/>
    <row r="221" ht="15.75" customHeight="1" s="165"/>
    <row r="222" ht="15.75" customHeight="1" s="165"/>
    <row r="223" ht="15.75" customHeight="1" s="165"/>
    <row r="224" ht="15.75" customHeight="1" s="165"/>
    <row r="225" ht="15.75" customHeight="1" s="165"/>
    <row r="226" ht="15.75" customHeight="1" s="165"/>
    <row r="227" ht="15.75" customHeight="1" s="165"/>
    <row r="228" ht="15.75" customHeight="1" s="165"/>
    <row r="229" ht="15.75" customHeight="1" s="165"/>
    <row r="230" ht="15.75" customHeight="1" s="165"/>
    <row r="231" ht="15.75" customHeight="1" s="165"/>
    <row r="232" ht="15.75" customHeight="1" s="165"/>
    <row r="233" ht="15.75" customHeight="1" s="165"/>
    <row r="234" ht="15.75" customHeight="1" s="165"/>
    <row r="235" ht="15.75" customHeight="1" s="165"/>
    <row r="236" ht="15.75" customHeight="1" s="165"/>
    <row r="237" ht="15.75" customHeight="1" s="165"/>
    <row r="238" ht="15.75" customHeight="1" s="165"/>
    <row r="239" ht="15.75" customHeight="1" s="165"/>
    <row r="240" ht="15.75" customHeight="1" s="165"/>
    <row r="241" ht="15.75" customHeight="1" s="165"/>
    <row r="242" ht="15.75" customHeight="1" s="165"/>
    <row r="243" ht="15.75" customHeight="1" s="165"/>
    <row r="244" ht="15.75" customHeight="1" s="165"/>
    <row r="245" ht="15.75" customHeight="1" s="165"/>
    <row r="246" ht="15.75" customHeight="1" s="165"/>
    <row r="247" ht="15.75" customHeight="1" s="165"/>
    <row r="248" ht="15.75" customHeight="1" s="165"/>
    <row r="249" ht="15.75" customHeight="1" s="165"/>
    <row r="250" ht="15.75" customHeight="1" s="165"/>
    <row r="251" ht="15.75" customHeight="1" s="165"/>
    <row r="252" ht="15.75" customHeight="1" s="165"/>
    <row r="253" ht="15.75" customHeight="1" s="165"/>
    <row r="254" ht="15.75" customHeight="1" s="165"/>
    <row r="255" ht="15.75" customHeight="1" s="165"/>
    <row r="256" ht="15.75" customHeight="1" s="165"/>
    <row r="257" ht="15.75" customHeight="1" s="165"/>
    <row r="258" ht="15.75" customHeight="1" s="165"/>
    <row r="259" ht="15.75" customHeight="1" s="165"/>
    <row r="260" ht="15.75" customHeight="1" s="165"/>
    <row r="261" ht="15.75" customHeight="1" s="165"/>
    <row r="262" ht="15.75" customHeight="1" s="165"/>
    <row r="263" ht="15.75" customHeight="1" s="165"/>
    <row r="264" ht="15.75" customHeight="1" s="165"/>
    <row r="265" ht="15.75" customHeight="1" s="165"/>
    <row r="266" ht="15.75" customHeight="1" s="165"/>
    <row r="267" ht="15.75" customHeight="1" s="165"/>
    <row r="268" ht="15.75" customHeight="1" s="165"/>
    <row r="269" ht="15.75" customHeight="1" s="165"/>
    <row r="270" ht="15.75" customHeight="1" s="165"/>
    <row r="271" ht="15.75" customHeight="1" s="165"/>
    <row r="272" ht="15.75" customHeight="1" s="165"/>
    <row r="273" ht="15.75" customHeight="1" s="165"/>
    <row r="274" ht="15.75" customHeight="1" s="165"/>
    <row r="275" ht="15.75" customHeight="1" s="165"/>
    <row r="276" ht="15.75" customHeight="1" s="165"/>
    <row r="277" ht="15.75" customHeight="1" s="165"/>
    <row r="278" ht="15.75" customHeight="1" s="165"/>
    <row r="279" ht="15.75" customHeight="1" s="165"/>
    <row r="280" ht="15.75" customHeight="1" s="165"/>
    <row r="281" ht="15.75" customHeight="1" s="165"/>
    <row r="282" ht="15.75" customHeight="1" s="165"/>
    <row r="283" ht="15.75" customHeight="1" s="165"/>
    <row r="284" ht="15.75" customHeight="1" s="165"/>
    <row r="285" ht="15.75" customHeight="1" s="165"/>
    <row r="286" ht="15.75" customHeight="1" s="165"/>
    <row r="287" ht="15.75" customHeight="1" s="165"/>
    <row r="288" ht="15.75" customHeight="1" s="165"/>
    <row r="289" ht="15.75" customHeight="1" s="165"/>
    <row r="290" ht="15.75" customHeight="1" s="165"/>
    <row r="291" ht="15.75" customHeight="1" s="165"/>
    <row r="292" ht="15.75" customHeight="1" s="165"/>
    <row r="293" ht="15.75" customHeight="1" s="165"/>
    <row r="294" ht="15.75" customHeight="1" s="165"/>
    <row r="295" ht="15.75" customHeight="1" s="165"/>
    <row r="296" ht="15.75" customHeight="1" s="165"/>
    <row r="297" ht="15.75" customHeight="1" s="165"/>
    <row r="298" ht="15.75" customHeight="1" s="165"/>
    <row r="299" ht="15.75" customHeight="1" s="165"/>
    <row r="300" ht="15.75" customHeight="1" s="165"/>
    <row r="301" ht="15.75" customHeight="1" s="165"/>
    <row r="302" ht="15.75" customHeight="1" s="165"/>
    <row r="303" ht="15.75" customHeight="1" s="165"/>
    <row r="304" ht="15.75" customHeight="1" s="165"/>
    <row r="305" ht="15.75" customHeight="1" s="165"/>
    <row r="306" ht="15.75" customHeight="1" s="165"/>
    <row r="307" ht="15.75" customHeight="1" s="165"/>
    <row r="308" ht="15.75" customHeight="1" s="165"/>
    <row r="309" ht="15.75" customHeight="1" s="165"/>
    <row r="310" ht="15.75" customHeight="1" s="165"/>
    <row r="311" ht="15.75" customHeight="1" s="165"/>
    <row r="312" ht="15.75" customHeight="1" s="165"/>
    <row r="313" ht="15.75" customHeight="1" s="165"/>
    <row r="314" ht="15.75" customHeight="1" s="165"/>
    <row r="315" ht="15.75" customHeight="1" s="165"/>
    <row r="316" ht="15.75" customHeight="1" s="165"/>
    <row r="317" ht="15.75" customHeight="1" s="165"/>
    <row r="318" ht="15.75" customHeight="1" s="165"/>
    <row r="319" ht="15.75" customHeight="1" s="165"/>
    <row r="320" ht="15.75" customHeight="1" s="165"/>
    <row r="321" ht="15.75" customHeight="1" s="165"/>
    <row r="322" ht="15.75" customHeight="1" s="165"/>
    <row r="323" ht="15.75" customHeight="1" s="165"/>
    <row r="324" ht="15.75" customHeight="1" s="165"/>
    <row r="325" ht="15.75" customHeight="1" s="165"/>
    <row r="326" ht="15.75" customHeight="1" s="165"/>
    <row r="327" ht="15.75" customHeight="1" s="165"/>
    <row r="328" ht="15.75" customHeight="1" s="165"/>
    <row r="329" ht="15.75" customHeight="1" s="165"/>
    <row r="330" ht="15.75" customHeight="1" s="165"/>
    <row r="331" ht="15.75" customHeight="1" s="165"/>
    <row r="332" ht="15.75" customHeight="1" s="165"/>
    <row r="333" ht="15.75" customHeight="1" s="165"/>
    <row r="334" ht="15.75" customHeight="1" s="165"/>
    <row r="335" ht="15.75" customHeight="1" s="165"/>
    <row r="336" ht="15.75" customHeight="1" s="165"/>
    <row r="337" ht="15.75" customHeight="1" s="165"/>
    <row r="338" ht="15.75" customHeight="1" s="165"/>
    <row r="339" ht="15.75" customHeight="1" s="165"/>
    <row r="340" ht="15.75" customHeight="1" s="165"/>
    <row r="341" ht="15.75" customHeight="1" s="165"/>
    <row r="342" ht="15.75" customHeight="1" s="165"/>
    <row r="343" ht="15.75" customHeight="1" s="165"/>
    <row r="344" ht="15.75" customHeight="1" s="165"/>
    <row r="345" ht="15.75" customHeight="1" s="165"/>
    <row r="346" ht="15.75" customHeight="1" s="165"/>
    <row r="347" ht="15.75" customHeight="1" s="165"/>
    <row r="348" ht="15.75" customHeight="1" s="165"/>
    <row r="349" ht="15.75" customHeight="1" s="165"/>
    <row r="350" ht="15.75" customHeight="1" s="165"/>
    <row r="351" ht="15.75" customHeight="1" s="165"/>
    <row r="352" ht="15.75" customHeight="1" s="165"/>
    <row r="353" ht="15.75" customHeight="1" s="165"/>
    <row r="354" ht="15.75" customHeight="1" s="165"/>
    <row r="355" ht="15.75" customHeight="1" s="165"/>
    <row r="356" ht="15.75" customHeight="1" s="165"/>
    <row r="357" ht="15.75" customHeight="1" s="165"/>
    <row r="358" ht="15.75" customHeight="1" s="165"/>
    <row r="359" ht="15.75" customHeight="1" s="165"/>
    <row r="360" ht="15.75" customHeight="1" s="165"/>
    <row r="361" ht="15.75" customHeight="1" s="165"/>
    <row r="362" ht="15.75" customHeight="1" s="165"/>
    <row r="363" ht="15.75" customHeight="1" s="165"/>
    <row r="364" ht="15.75" customHeight="1" s="165"/>
    <row r="365" ht="15.75" customHeight="1" s="165"/>
    <row r="366" ht="15.75" customHeight="1" s="165"/>
    <row r="367" ht="15.75" customHeight="1" s="165"/>
    <row r="368" ht="15.75" customHeight="1" s="165"/>
    <row r="369" ht="15.75" customHeight="1" s="165"/>
    <row r="370" ht="15.75" customHeight="1" s="165"/>
    <row r="371" ht="15.75" customHeight="1" s="165"/>
    <row r="372" ht="15.75" customHeight="1" s="165"/>
    <row r="373" ht="15.75" customHeight="1" s="165"/>
    <row r="374" ht="15.75" customHeight="1" s="165"/>
    <row r="375" ht="15.75" customHeight="1" s="165"/>
    <row r="376" ht="15.75" customHeight="1" s="165"/>
    <row r="377" ht="15.75" customHeight="1" s="165"/>
    <row r="378" ht="15.75" customHeight="1" s="165"/>
    <row r="379" ht="15.75" customHeight="1" s="165"/>
    <row r="380" ht="15.75" customHeight="1" s="165"/>
    <row r="381" ht="15.75" customHeight="1" s="165"/>
    <row r="382" ht="15.75" customHeight="1" s="165"/>
    <row r="383" ht="15.75" customHeight="1" s="165"/>
    <row r="384" ht="15.75" customHeight="1" s="165"/>
    <row r="385" ht="15.75" customHeight="1" s="165"/>
    <row r="386" ht="15.75" customHeight="1" s="165"/>
    <row r="387" ht="15.75" customHeight="1" s="165"/>
    <row r="388" ht="15.75" customHeight="1" s="165"/>
    <row r="389" ht="15.75" customHeight="1" s="165"/>
    <row r="390" ht="15.75" customHeight="1" s="165"/>
    <row r="391" ht="15.75" customHeight="1" s="165"/>
    <row r="392" ht="15.75" customHeight="1" s="165"/>
    <row r="393" ht="15.75" customHeight="1" s="165"/>
    <row r="394" ht="15.75" customHeight="1" s="165"/>
    <row r="395" ht="15.75" customHeight="1" s="165"/>
    <row r="396" ht="15.75" customHeight="1" s="165"/>
    <row r="397" ht="15.75" customHeight="1" s="165"/>
    <row r="398" ht="15.75" customHeight="1" s="165"/>
    <row r="399" ht="15.75" customHeight="1" s="165"/>
    <row r="400" ht="15.75" customHeight="1" s="165"/>
    <row r="401" ht="15.75" customHeight="1" s="165"/>
    <row r="402" ht="15.75" customHeight="1" s="165"/>
    <row r="403" ht="15.75" customHeight="1" s="165"/>
    <row r="404" ht="15.75" customHeight="1" s="165"/>
    <row r="405" ht="15.75" customHeight="1" s="165"/>
    <row r="406" ht="15.75" customHeight="1" s="165"/>
    <row r="407" ht="15.75" customHeight="1" s="165"/>
    <row r="408" ht="15.75" customHeight="1" s="165"/>
    <row r="409" ht="15.75" customHeight="1" s="165"/>
    <row r="410" ht="15.75" customHeight="1" s="165"/>
    <row r="411" ht="15.75" customHeight="1" s="165"/>
    <row r="412" ht="15.75" customHeight="1" s="165"/>
    <row r="413" ht="15.75" customHeight="1" s="165"/>
    <row r="414" ht="15.75" customHeight="1" s="165"/>
    <row r="415" ht="15.75" customHeight="1" s="165"/>
    <row r="416" ht="15.75" customHeight="1" s="165"/>
    <row r="417" ht="15.75" customHeight="1" s="165"/>
    <row r="418" ht="15.75" customHeight="1" s="165"/>
    <row r="419" ht="15.75" customHeight="1" s="165"/>
    <row r="420" ht="15.75" customHeight="1" s="165"/>
    <row r="421" ht="15.75" customHeight="1" s="165"/>
    <row r="422" ht="15.75" customHeight="1" s="165"/>
    <row r="423" ht="15.75" customHeight="1" s="165"/>
    <row r="424" ht="15.75" customHeight="1" s="165"/>
    <row r="425" ht="15.75" customHeight="1" s="165"/>
    <row r="426" ht="15.75" customHeight="1" s="165"/>
    <row r="427" ht="15.75" customHeight="1" s="165"/>
    <row r="428" ht="15.75" customHeight="1" s="165"/>
    <row r="429" ht="15.75" customHeight="1" s="165"/>
    <row r="430" ht="15.75" customHeight="1" s="165"/>
    <row r="431" ht="15.75" customHeight="1" s="165"/>
    <row r="432" ht="15.75" customHeight="1" s="165"/>
    <row r="433" ht="15.75" customHeight="1" s="165"/>
    <row r="434" ht="15.75" customHeight="1" s="165"/>
    <row r="435" ht="15.75" customHeight="1" s="165"/>
    <row r="436" ht="15.75" customHeight="1" s="165"/>
    <row r="437" ht="15.75" customHeight="1" s="165"/>
    <row r="438" ht="15.75" customHeight="1" s="165"/>
    <row r="439" ht="15.75" customHeight="1" s="165"/>
    <row r="440" ht="15.75" customHeight="1" s="165"/>
    <row r="441" ht="15.75" customHeight="1" s="165"/>
    <row r="442" ht="15.75" customHeight="1" s="165"/>
    <row r="443" ht="15.75" customHeight="1" s="165"/>
    <row r="444" ht="15.75" customHeight="1" s="165"/>
    <row r="445" ht="15.75" customHeight="1" s="165"/>
    <row r="446" ht="15.75" customHeight="1" s="165"/>
    <row r="447" ht="15.75" customHeight="1" s="165"/>
    <row r="448" ht="15.75" customHeight="1" s="165"/>
    <row r="449" ht="15.75" customHeight="1" s="165"/>
    <row r="450" ht="15.75" customHeight="1" s="165"/>
    <row r="451" ht="15.75" customHeight="1" s="165"/>
    <row r="452" ht="15.75" customHeight="1" s="165"/>
    <row r="453" ht="15.75" customHeight="1" s="165"/>
    <row r="454" ht="15.75" customHeight="1" s="165"/>
    <row r="455" ht="15.75" customHeight="1" s="165"/>
    <row r="456" ht="15.75" customHeight="1" s="165"/>
    <row r="457" ht="15.75" customHeight="1" s="165"/>
    <row r="458" ht="15.75" customHeight="1" s="165"/>
    <row r="459" ht="15.75" customHeight="1" s="165"/>
    <row r="460" ht="15.75" customHeight="1" s="165"/>
    <row r="461" ht="15.75" customHeight="1" s="165"/>
    <row r="462" ht="15.75" customHeight="1" s="165"/>
    <row r="463" ht="15.75" customHeight="1" s="165"/>
    <row r="464" ht="15.75" customHeight="1" s="165"/>
    <row r="465" ht="15.75" customHeight="1" s="165"/>
    <row r="466" ht="15.75" customHeight="1" s="165"/>
    <row r="467" ht="15.75" customHeight="1" s="165"/>
    <row r="468" ht="15.75" customHeight="1" s="165"/>
    <row r="469" ht="15.75" customHeight="1" s="165"/>
    <row r="470" ht="15.75" customHeight="1" s="165"/>
    <row r="471" ht="15.75" customHeight="1" s="165"/>
    <row r="472" ht="15.75" customHeight="1" s="165"/>
    <row r="473" ht="15.75" customHeight="1" s="165"/>
    <row r="474" ht="15.75" customHeight="1" s="165"/>
    <row r="475" ht="15.75" customHeight="1" s="165"/>
    <row r="476" ht="15.75" customHeight="1" s="165"/>
    <row r="477" ht="15.75" customHeight="1" s="165"/>
    <row r="478" ht="15.75" customHeight="1" s="165"/>
    <row r="479" ht="15.75" customHeight="1" s="165"/>
    <row r="480" ht="15.75" customHeight="1" s="165"/>
    <row r="481" ht="15.75" customHeight="1" s="165"/>
    <row r="482" ht="15.75" customHeight="1" s="165"/>
    <row r="483" ht="15.75" customHeight="1" s="165"/>
    <row r="484" ht="15.75" customHeight="1" s="165"/>
    <row r="485" ht="15.75" customHeight="1" s="165"/>
    <row r="486" ht="15.75" customHeight="1" s="165"/>
    <row r="487" ht="15.75" customHeight="1" s="165"/>
    <row r="488" ht="15.75" customHeight="1" s="165"/>
    <row r="489" ht="15.75" customHeight="1" s="165"/>
    <row r="490" ht="15.75" customHeight="1" s="165"/>
    <row r="491" ht="15.75" customHeight="1" s="165"/>
    <row r="492" ht="15.75" customHeight="1" s="165"/>
    <row r="493" ht="15.75" customHeight="1" s="165"/>
    <row r="494" ht="15.75" customHeight="1" s="165"/>
    <row r="495" ht="15.75" customHeight="1" s="165"/>
    <row r="496" ht="15.75" customHeight="1" s="165"/>
    <row r="497" ht="15.75" customHeight="1" s="165"/>
    <row r="498" ht="15.75" customHeight="1" s="165"/>
    <row r="499" ht="15.75" customHeight="1" s="165"/>
    <row r="500" ht="15.75" customHeight="1" s="165"/>
    <row r="501" ht="15.75" customHeight="1" s="165"/>
    <row r="502" ht="15.75" customHeight="1" s="165"/>
    <row r="503" ht="15.75" customHeight="1" s="165"/>
    <row r="504" ht="15.75" customHeight="1" s="165"/>
    <row r="505" ht="15.75" customHeight="1" s="165"/>
    <row r="506" ht="15.75" customHeight="1" s="165"/>
    <row r="507" ht="15.75" customHeight="1" s="165"/>
    <row r="508" ht="15.75" customHeight="1" s="165"/>
    <row r="509" ht="15.75" customHeight="1" s="165"/>
    <row r="510" ht="15.75" customHeight="1" s="165"/>
    <row r="511" ht="15.75" customHeight="1" s="165"/>
    <row r="512" ht="15.75" customHeight="1" s="165"/>
    <row r="513" ht="15.75" customHeight="1" s="165"/>
    <row r="514" ht="15.75" customHeight="1" s="165"/>
    <row r="515" ht="15.75" customHeight="1" s="165"/>
    <row r="516" ht="15.75" customHeight="1" s="165"/>
    <row r="517" ht="15.75" customHeight="1" s="165"/>
    <row r="518" ht="15.75" customHeight="1" s="165"/>
    <row r="519" ht="15.75" customHeight="1" s="165"/>
    <row r="520" ht="15.75" customHeight="1" s="165"/>
    <row r="521" ht="15.75" customHeight="1" s="165"/>
    <row r="522" ht="15.75" customHeight="1" s="165"/>
    <row r="523" ht="15.75" customHeight="1" s="165"/>
    <row r="524" ht="15.75" customHeight="1" s="165"/>
    <row r="525" ht="15.75" customHeight="1" s="165"/>
    <row r="526" ht="15.75" customHeight="1" s="165"/>
    <row r="527" ht="15.75" customHeight="1" s="165"/>
    <row r="528" ht="15.75" customHeight="1" s="165"/>
    <row r="529" ht="15.75" customHeight="1" s="165"/>
    <row r="530" ht="15.75" customHeight="1" s="165"/>
    <row r="531" ht="15.75" customHeight="1" s="165"/>
    <row r="532" ht="15.75" customHeight="1" s="165"/>
    <row r="533" ht="15.75" customHeight="1" s="165"/>
    <row r="534" ht="15.75" customHeight="1" s="165"/>
    <row r="535" ht="15.75" customHeight="1" s="165"/>
    <row r="536" ht="15.75" customHeight="1" s="165"/>
    <row r="537" ht="15.75" customHeight="1" s="165"/>
    <row r="538" ht="15.75" customHeight="1" s="165"/>
    <row r="539" ht="15.75" customHeight="1" s="165"/>
    <row r="540" ht="15.75" customHeight="1" s="165"/>
    <row r="541" ht="15.75" customHeight="1" s="165"/>
    <row r="542" ht="15.75" customHeight="1" s="165"/>
    <row r="543" ht="15.75" customHeight="1" s="165"/>
    <row r="544" ht="15.75" customHeight="1" s="165"/>
    <row r="545" ht="15.75" customHeight="1" s="165"/>
    <row r="546" ht="15.75" customHeight="1" s="165"/>
    <row r="547" ht="15.75" customHeight="1" s="165"/>
    <row r="548" ht="15.75" customHeight="1" s="165"/>
    <row r="549" ht="15.75" customHeight="1" s="165"/>
    <row r="550" ht="15.75" customHeight="1" s="165"/>
    <row r="551" ht="15.75" customHeight="1" s="165"/>
    <row r="552" ht="15.75" customHeight="1" s="165"/>
    <row r="553" ht="15.75" customHeight="1" s="165"/>
    <row r="554" ht="15.75" customHeight="1" s="165"/>
    <row r="555" ht="15.75" customHeight="1" s="165"/>
    <row r="556" ht="15.75" customHeight="1" s="165"/>
    <row r="557" ht="15.75" customHeight="1" s="165"/>
    <row r="558" ht="15.75" customHeight="1" s="165"/>
    <row r="559" ht="15.75" customHeight="1" s="165"/>
    <row r="560" ht="15.75" customHeight="1" s="165"/>
    <row r="561" ht="15.75" customHeight="1" s="165"/>
    <row r="562" ht="15.75" customHeight="1" s="165"/>
    <row r="563" ht="15.75" customHeight="1" s="165"/>
    <row r="564" ht="15.75" customHeight="1" s="165"/>
    <row r="565" ht="15.75" customHeight="1" s="165"/>
    <row r="566" ht="15.75" customHeight="1" s="165"/>
    <row r="567" ht="15.75" customHeight="1" s="165"/>
    <row r="568" ht="15.75" customHeight="1" s="165"/>
    <row r="569" ht="15.75" customHeight="1" s="165"/>
    <row r="570" ht="15.75" customHeight="1" s="165"/>
    <row r="571" ht="15.75" customHeight="1" s="165"/>
    <row r="572" ht="15.75" customHeight="1" s="165"/>
    <row r="573" ht="15.75" customHeight="1" s="165"/>
    <row r="574" ht="15.75" customHeight="1" s="165"/>
    <row r="575" ht="15.75" customHeight="1" s="165"/>
    <row r="576" ht="15.75" customHeight="1" s="165"/>
    <row r="577" ht="15.75" customHeight="1" s="165"/>
    <row r="578" ht="15.75" customHeight="1" s="165"/>
    <row r="579" ht="15.75" customHeight="1" s="165"/>
    <row r="580" ht="15.75" customHeight="1" s="165"/>
    <row r="581" ht="15.75" customHeight="1" s="165"/>
    <row r="582" ht="15.75" customHeight="1" s="165"/>
    <row r="583" ht="15.75" customHeight="1" s="165"/>
    <row r="584" ht="15.75" customHeight="1" s="165"/>
    <row r="585" ht="15.75" customHeight="1" s="165"/>
    <row r="586" ht="15.75" customHeight="1" s="165"/>
    <row r="587" ht="15.75" customHeight="1" s="165"/>
    <row r="588" ht="15.75" customHeight="1" s="165"/>
    <row r="589" ht="15.75" customHeight="1" s="165"/>
    <row r="590" ht="15.75" customHeight="1" s="165"/>
    <row r="591" ht="15.75" customHeight="1" s="165"/>
    <row r="592" ht="15.75" customHeight="1" s="165"/>
    <row r="593" ht="15.75" customHeight="1" s="165"/>
    <row r="594" ht="15.75" customHeight="1" s="165"/>
    <row r="595" ht="15.75" customHeight="1" s="165"/>
    <row r="596" ht="15.75" customHeight="1" s="165"/>
    <row r="597" ht="15.75" customHeight="1" s="165"/>
    <row r="598" ht="15.75" customHeight="1" s="165"/>
    <row r="599" ht="15.75" customHeight="1" s="165"/>
    <row r="600" ht="15.75" customHeight="1" s="165"/>
    <row r="601" ht="15.75" customHeight="1" s="165"/>
    <row r="602" ht="15.75" customHeight="1" s="165"/>
    <row r="603" ht="15.75" customHeight="1" s="165"/>
    <row r="604" ht="15.75" customHeight="1" s="165"/>
    <row r="605" ht="15.75" customHeight="1" s="165"/>
    <row r="606" ht="15.75" customHeight="1" s="165"/>
    <row r="607" ht="15.75" customHeight="1" s="165"/>
    <row r="608" ht="15.75" customHeight="1" s="165"/>
    <row r="609" ht="15.75" customHeight="1" s="165"/>
    <row r="610" ht="15.75" customHeight="1" s="165"/>
    <row r="611" ht="15.75" customHeight="1" s="165"/>
    <row r="612" ht="15.75" customHeight="1" s="165"/>
    <row r="613" ht="15.75" customHeight="1" s="165"/>
    <row r="614" ht="15.75" customHeight="1" s="165"/>
    <row r="615" ht="15.75" customHeight="1" s="165"/>
    <row r="616" ht="15.75" customHeight="1" s="165"/>
    <row r="617" ht="15.75" customHeight="1" s="165"/>
    <row r="618" ht="15.75" customHeight="1" s="165"/>
    <row r="619" ht="15.75" customHeight="1" s="165"/>
    <row r="620" ht="15.75" customHeight="1" s="165"/>
    <row r="621" ht="15.75" customHeight="1" s="165"/>
    <row r="622" ht="15.75" customHeight="1" s="165"/>
    <row r="623" ht="15.75" customHeight="1" s="165"/>
    <row r="624" ht="15.75" customHeight="1" s="165"/>
    <row r="625" ht="15.75" customHeight="1" s="165"/>
    <row r="626" ht="15.75" customHeight="1" s="165"/>
    <row r="627" ht="15.75" customHeight="1" s="165"/>
    <row r="628" ht="15.75" customHeight="1" s="165"/>
    <row r="629" ht="15.75" customHeight="1" s="165"/>
    <row r="630" ht="15.75" customHeight="1" s="165"/>
    <row r="631" ht="15.75" customHeight="1" s="165"/>
    <row r="632" ht="15.75" customHeight="1" s="165"/>
    <row r="633" ht="15.75" customHeight="1" s="165"/>
    <row r="634" ht="15.75" customHeight="1" s="165"/>
    <row r="635" ht="15.75" customHeight="1" s="165"/>
    <row r="636" ht="15.75" customHeight="1" s="165"/>
    <row r="637" ht="15.75" customHeight="1" s="165"/>
    <row r="638" ht="15.75" customHeight="1" s="165"/>
    <row r="639" ht="15.75" customHeight="1" s="165"/>
    <row r="640" ht="15.75" customHeight="1" s="165"/>
    <row r="641" ht="15.75" customHeight="1" s="165"/>
    <row r="642" ht="15.75" customHeight="1" s="165"/>
    <row r="643" ht="15.75" customHeight="1" s="165"/>
    <row r="644" ht="15.75" customHeight="1" s="165"/>
    <row r="645" ht="15.75" customHeight="1" s="165"/>
    <row r="646" ht="15.75" customHeight="1" s="165"/>
    <row r="647" ht="15.75" customHeight="1" s="165"/>
    <row r="648" ht="15.75" customHeight="1" s="165"/>
    <row r="649" ht="15.75" customHeight="1" s="165"/>
    <row r="650" ht="15.75" customHeight="1" s="165"/>
    <row r="651" ht="15.75" customHeight="1" s="165"/>
    <row r="652" ht="15.75" customHeight="1" s="165"/>
    <row r="653" ht="15.75" customHeight="1" s="165"/>
    <row r="654" ht="15.75" customHeight="1" s="165"/>
    <row r="655" ht="15.75" customHeight="1" s="165"/>
    <row r="656" ht="15.75" customHeight="1" s="165"/>
    <row r="657" ht="15.75" customHeight="1" s="165"/>
    <row r="658" ht="15.75" customHeight="1" s="165"/>
    <row r="659" ht="15.75" customHeight="1" s="165"/>
    <row r="660" ht="15.75" customHeight="1" s="165"/>
    <row r="661" ht="15.75" customHeight="1" s="165"/>
    <row r="662" ht="15.75" customHeight="1" s="165"/>
    <row r="663" ht="15.75" customHeight="1" s="165"/>
    <row r="664" ht="15.75" customHeight="1" s="165"/>
    <row r="665" ht="15.75" customHeight="1" s="165"/>
    <row r="666" ht="15.75" customHeight="1" s="165"/>
    <row r="667" ht="15.75" customHeight="1" s="165"/>
    <row r="668" ht="15.75" customHeight="1" s="165"/>
    <row r="669" ht="15.75" customHeight="1" s="165"/>
    <row r="670" ht="15.75" customHeight="1" s="165"/>
    <row r="671" ht="15.75" customHeight="1" s="165"/>
    <row r="672" ht="15.75" customHeight="1" s="165"/>
    <row r="673" ht="15.75" customHeight="1" s="165"/>
    <row r="674" ht="15.75" customHeight="1" s="165"/>
    <row r="675" ht="15.75" customHeight="1" s="165"/>
    <row r="676" ht="15.75" customHeight="1" s="165"/>
    <row r="677" ht="15.75" customHeight="1" s="165"/>
    <row r="678" ht="15.75" customHeight="1" s="165"/>
    <row r="679" ht="15.75" customHeight="1" s="165"/>
    <row r="680" ht="15.75" customHeight="1" s="165"/>
    <row r="681" ht="15.75" customHeight="1" s="165"/>
    <row r="682" ht="15.75" customHeight="1" s="165"/>
    <row r="683" ht="15.75" customHeight="1" s="165"/>
    <row r="684" ht="15.75" customHeight="1" s="165"/>
    <row r="685" ht="15.75" customHeight="1" s="165"/>
    <row r="686" ht="15.75" customHeight="1" s="165"/>
    <row r="687" ht="15.75" customHeight="1" s="165"/>
    <row r="688" ht="15.75" customHeight="1" s="165"/>
    <row r="689" ht="15.75" customHeight="1" s="165"/>
    <row r="690" ht="15.75" customHeight="1" s="165"/>
    <row r="691" ht="15.75" customHeight="1" s="165"/>
    <row r="692" ht="15.75" customHeight="1" s="165"/>
    <row r="693" ht="15.75" customHeight="1" s="165"/>
    <row r="694" ht="15.75" customHeight="1" s="165"/>
    <row r="695" ht="15.75" customHeight="1" s="165"/>
    <row r="696" ht="15.75" customHeight="1" s="165"/>
    <row r="697" ht="15.75" customHeight="1" s="165"/>
    <row r="698" ht="15.75" customHeight="1" s="165"/>
    <row r="699" ht="15.75" customHeight="1" s="165"/>
    <row r="700" ht="15.75" customHeight="1" s="165"/>
    <row r="701" ht="15.75" customHeight="1" s="165"/>
    <row r="702" ht="15.75" customHeight="1" s="165"/>
    <row r="703" ht="15.75" customHeight="1" s="165"/>
    <row r="704" ht="15.75" customHeight="1" s="165"/>
    <row r="705" ht="15.75" customHeight="1" s="165"/>
    <row r="706" ht="15.75" customHeight="1" s="165"/>
    <row r="707" ht="15.75" customHeight="1" s="165"/>
    <row r="708" ht="15.75" customHeight="1" s="165"/>
    <row r="709" ht="15.75" customHeight="1" s="165"/>
    <row r="710" ht="15.75" customHeight="1" s="165"/>
    <row r="711" ht="15.75" customHeight="1" s="165"/>
    <row r="712" ht="15.75" customHeight="1" s="165"/>
    <row r="713" ht="15.75" customHeight="1" s="165"/>
    <row r="714" ht="15.75" customHeight="1" s="165"/>
    <row r="715" ht="15.75" customHeight="1" s="165"/>
    <row r="716" ht="15.75" customHeight="1" s="165"/>
    <row r="717" ht="15.75" customHeight="1" s="165"/>
    <row r="718" ht="15.75" customHeight="1" s="165"/>
    <row r="719" ht="15.75" customHeight="1" s="165"/>
    <row r="720" ht="15.75" customHeight="1" s="165"/>
    <row r="721" ht="15.75" customHeight="1" s="165"/>
    <row r="722" ht="15.75" customHeight="1" s="165"/>
    <row r="723" ht="15.75" customHeight="1" s="165"/>
    <row r="724" ht="15.75" customHeight="1" s="165"/>
    <row r="725" ht="15.75" customHeight="1" s="165"/>
    <row r="726" ht="15.75" customHeight="1" s="165"/>
    <row r="727" ht="15.75" customHeight="1" s="165"/>
    <row r="728" ht="15.75" customHeight="1" s="165"/>
    <row r="729" ht="15.75" customHeight="1" s="165"/>
    <row r="730" ht="15.75" customHeight="1" s="165"/>
    <row r="731" ht="15.75" customHeight="1" s="165"/>
    <row r="732" ht="15.75" customHeight="1" s="165"/>
    <row r="733" ht="15.75" customHeight="1" s="165"/>
    <row r="734" ht="15.75" customHeight="1" s="165"/>
    <row r="735" ht="15.75" customHeight="1" s="165"/>
    <row r="736" ht="15.75" customHeight="1" s="165"/>
    <row r="737" ht="15.75" customHeight="1" s="165"/>
    <row r="738" ht="15.75" customHeight="1" s="165"/>
    <row r="739" ht="15.75" customHeight="1" s="165"/>
    <row r="740" ht="15.75" customHeight="1" s="165"/>
    <row r="741" ht="15.75" customHeight="1" s="165"/>
    <row r="742" ht="15.75" customHeight="1" s="165"/>
    <row r="743" ht="15.75" customHeight="1" s="165"/>
    <row r="744" ht="15.75" customHeight="1" s="165"/>
    <row r="745" ht="15.75" customHeight="1" s="165"/>
    <row r="746" ht="15.75" customHeight="1" s="165"/>
    <row r="747" ht="15.75" customHeight="1" s="165"/>
    <row r="748" ht="15.75" customHeight="1" s="165"/>
    <row r="749" ht="15.75" customHeight="1" s="165"/>
    <row r="750" ht="15.75" customHeight="1" s="165"/>
    <row r="751" ht="15.75" customHeight="1" s="165"/>
    <row r="752" ht="15.75" customHeight="1" s="165"/>
    <row r="753" ht="15.75" customHeight="1" s="165"/>
    <row r="754" ht="15.75" customHeight="1" s="165"/>
    <row r="755" ht="15.75" customHeight="1" s="165"/>
    <row r="756" ht="15.75" customHeight="1" s="165"/>
    <row r="757" ht="15.75" customHeight="1" s="165"/>
    <row r="758" ht="15.75" customHeight="1" s="165"/>
    <row r="759" ht="15.75" customHeight="1" s="165"/>
    <row r="760" ht="15.75" customHeight="1" s="165"/>
    <row r="761" ht="15.75" customHeight="1" s="165"/>
    <row r="762" ht="15.75" customHeight="1" s="165"/>
    <row r="763" ht="15.75" customHeight="1" s="165"/>
    <row r="764" ht="15.75" customHeight="1" s="165"/>
    <row r="765" ht="15.75" customHeight="1" s="165"/>
    <row r="766" ht="15.75" customHeight="1" s="165"/>
    <row r="767" ht="15.75" customHeight="1" s="165"/>
    <row r="768" ht="15.75" customHeight="1" s="165"/>
    <row r="769" ht="15.75" customHeight="1" s="165"/>
    <row r="770" ht="15.75" customHeight="1" s="165"/>
    <row r="771" ht="15.75" customHeight="1" s="165"/>
    <row r="772" ht="15.75" customHeight="1" s="165"/>
    <row r="773" ht="15.75" customHeight="1" s="165"/>
    <row r="774" ht="15.75" customHeight="1" s="165"/>
    <row r="775" ht="15.75" customHeight="1" s="165"/>
    <row r="776" ht="15.75" customHeight="1" s="165"/>
    <row r="777" ht="15.75" customHeight="1" s="165"/>
    <row r="778" ht="15.75" customHeight="1" s="165"/>
    <row r="779" ht="15.75" customHeight="1" s="165"/>
    <row r="780" ht="15.75" customHeight="1" s="165"/>
    <row r="781" ht="15.75" customHeight="1" s="165"/>
    <row r="782" ht="15.75" customHeight="1" s="165"/>
    <row r="783" ht="15.75" customHeight="1" s="165"/>
    <row r="784" ht="15.75" customHeight="1" s="165"/>
    <row r="785" ht="15.75" customHeight="1" s="165"/>
    <row r="786" ht="15.75" customHeight="1" s="165"/>
    <row r="787" ht="15.75" customHeight="1" s="165"/>
    <row r="788" ht="15.75" customHeight="1" s="165"/>
    <row r="789" ht="15.75" customHeight="1" s="165"/>
    <row r="790" ht="15.75" customHeight="1" s="165"/>
    <row r="791" ht="15.75" customHeight="1" s="165"/>
    <row r="792" ht="15.75" customHeight="1" s="165"/>
    <row r="793" ht="15.75" customHeight="1" s="165"/>
    <row r="794" ht="15.75" customHeight="1" s="165"/>
    <row r="795" ht="15.75" customHeight="1" s="165"/>
    <row r="796" ht="15.75" customHeight="1" s="165"/>
    <row r="797" ht="15.75" customHeight="1" s="165"/>
    <row r="798" ht="15.75" customHeight="1" s="165"/>
    <row r="799" ht="15.75" customHeight="1" s="165"/>
    <row r="800" ht="15.75" customHeight="1" s="165"/>
    <row r="801" ht="15.75" customHeight="1" s="165"/>
    <row r="802" ht="15.75" customHeight="1" s="165"/>
    <row r="803" ht="15.75" customHeight="1" s="165"/>
    <row r="804" ht="15.75" customHeight="1" s="165"/>
    <row r="805" ht="15.75" customHeight="1" s="165"/>
    <row r="806" ht="15.75" customHeight="1" s="165"/>
    <row r="807" ht="15.75" customHeight="1" s="165"/>
    <row r="808" ht="15.75" customHeight="1" s="165"/>
    <row r="809" ht="15.75" customHeight="1" s="165"/>
    <row r="810" ht="15.75" customHeight="1" s="165"/>
    <row r="811" ht="15.75" customHeight="1" s="165"/>
    <row r="812" ht="15.75" customHeight="1" s="165"/>
    <row r="813" ht="15.75" customHeight="1" s="165"/>
    <row r="814" ht="15.75" customHeight="1" s="165"/>
    <row r="815" ht="15.75" customHeight="1" s="165"/>
    <row r="816" ht="15.75" customHeight="1" s="165"/>
    <row r="817" ht="15.75" customHeight="1" s="165"/>
    <row r="818" ht="15.75" customHeight="1" s="165"/>
    <row r="819" ht="15.75" customHeight="1" s="165"/>
    <row r="820" ht="15.75" customHeight="1" s="165"/>
    <row r="821" ht="15.75" customHeight="1" s="165"/>
    <row r="822" ht="15.75" customHeight="1" s="165"/>
    <row r="823" ht="15.75" customHeight="1" s="165"/>
    <row r="824" ht="15.75" customHeight="1" s="165"/>
    <row r="825" ht="15.75" customHeight="1" s="165"/>
    <row r="826" ht="15.75" customHeight="1" s="165"/>
    <row r="827" ht="15.75" customHeight="1" s="165"/>
    <row r="828" ht="15.75" customHeight="1" s="165"/>
    <row r="829" ht="15.75" customHeight="1" s="165"/>
    <row r="830" ht="15.75" customHeight="1" s="165"/>
    <row r="831" ht="15.75" customHeight="1" s="165"/>
    <row r="832" ht="15.75" customHeight="1" s="165"/>
    <row r="833" ht="15.75" customHeight="1" s="165"/>
    <row r="834" ht="15.75" customHeight="1" s="165"/>
    <row r="835" ht="15.75" customHeight="1" s="165"/>
    <row r="836" ht="15.75" customHeight="1" s="165"/>
    <row r="837" ht="15.75" customHeight="1" s="165"/>
    <row r="838" ht="15.75" customHeight="1" s="165"/>
    <row r="839" ht="15.75" customHeight="1" s="165"/>
    <row r="840" ht="15.75" customHeight="1" s="165"/>
    <row r="841" ht="15.75" customHeight="1" s="165"/>
    <row r="842" ht="15.75" customHeight="1" s="165"/>
    <row r="843" ht="15.75" customHeight="1" s="165"/>
    <row r="844" ht="15.75" customHeight="1" s="165"/>
    <row r="845" ht="15.75" customHeight="1" s="165"/>
    <row r="846" ht="15.75" customHeight="1" s="165"/>
    <row r="847" ht="15.75" customHeight="1" s="165"/>
    <row r="848" ht="15.75" customHeight="1" s="165"/>
    <row r="849" ht="15.75" customHeight="1" s="165"/>
    <row r="850" ht="15.75" customHeight="1" s="165"/>
    <row r="851" ht="15.75" customHeight="1" s="165"/>
    <row r="852" ht="15.75" customHeight="1" s="165"/>
    <row r="853" ht="15.75" customHeight="1" s="165"/>
    <row r="854" ht="15.75" customHeight="1" s="165"/>
    <row r="855" ht="15.75" customHeight="1" s="165"/>
    <row r="856" ht="15.75" customHeight="1" s="165"/>
    <row r="857" ht="15.75" customHeight="1" s="165"/>
    <row r="858" ht="15.75" customHeight="1" s="165"/>
    <row r="859" ht="15.75" customHeight="1" s="165"/>
    <row r="860" ht="15.75" customHeight="1" s="165"/>
    <row r="861" ht="15.75" customHeight="1" s="165"/>
    <row r="862" ht="15.75" customHeight="1" s="165"/>
    <row r="863" ht="15.75" customHeight="1" s="165"/>
    <row r="864" ht="15.75" customHeight="1" s="165"/>
    <row r="865" ht="15.75" customHeight="1" s="165"/>
    <row r="866" ht="15.75" customHeight="1" s="165"/>
    <row r="867" ht="15.75" customHeight="1" s="165"/>
    <row r="868" ht="15.75" customHeight="1" s="165"/>
    <row r="869" ht="15.75" customHeight="1" s="165"/>
    <row r="870" ht="15.75" customHeight="1" s="165"/>
    <row r="871" ht="15.75" customHeight="1" s="165"/>
    <row r="872" ht="15.75" customHeight="1" s="165"/>
    <row r="873" ht="15.75" customHeight="1" s="165"/>
    <row r="874" ht="15.75" customHeight="1" s="165"/>
    <row r="875" ht="15.75" customHeight="1" s="165"/>
    <row r="876" ht="15.75" customHeight="1" s="165"/>
    <row r="877" ht="15.75" customHeight="1" s="165"/>
    <row r="878" ht="15.75" customHeight="1" s="165"/>
    <row r="879" ht="15.75" customHeight="1" s="165"/>
    <row r="880" ht="15.75" customHeight="1" s="165"/>
    <row r="881" ht="15.75" customHeight="1" s="165"/>
    <row r="882" ht="15.75" customHeight="1" s="165"/>
    <row r="883" ht="15.75" customHeight="1" s="165"/>
    <row r="884" ht="15.75" customHeight="1" s="165"/>
    <row r="885" ht="15.75" customHeight="1" s="165"/>
    <row r="886" ht="15.75" customHeight="1" s="165"/>
    <row r="887" ht="15.75" customHeight="1" s="165"/>
    <row r="888" ht="15.75" customHeight="1" s="165"/>
    <row r="889" ht="15.75" customHeight="1" s="165"/>
    <row r="890" ht="15.75" customHeight="1" s="165"/>
    <row r="891" ht="15.75" customHeight="1" s="165"/>
    <row r="892" ht="15.75" customHeight="1" s="165"/>
    <row r="893" ht="15.75" customHeight="1" s="165"/>
    <row r="894" ht="15.75" customHeight="1" s="165"/>
    <row r="895" ht="15.75" customHeight="1" s="165"/>
    <row r="896" ht="15.75" customHeight="1" s="165"/>
    <row r="897" ht="15.75" customHeight="1" s="165"/>
    <row r="898" ht="15.75" customHeight="1" s="165"/>
    <row r="899" ht="15.75" customHeight="1" s="165"/>
    <row r="900" ht="15.75" customHeight="1" s="165"/>
    <row r="901" ht="15.75" customHeight="1" s="165"/>
    <row r="902" ht="15.75" customHeight="1" s="165"/>
    <row r="903" ht="15.75" customHeight="1" s="165"/>
    <row r="904" ht="15.75" customHeight="1" s="165"/>
    <row r="905" ht="15.75" customHeight="1" s="165"/>
    <row r="906" ht="15.75" customHeight="1" s="165"/>
    <row r="907" ht="15.75" customHeight="1" s="165"/>
    <row r="908" ht="15.75" customHeight="1" s="165"/>
    <row r="909" ht="15.75" customHeight="1" s="165"/>
    <row r="910" ht="15.75" customHeight="1" s="165"/>
    <row r="911" ht="15.75" customHeight="1" s="165"/>
    <row r="912" ht="15.75" customHeight="1" s="165"/>
    <row r="913" ht="15.75" customHeight="1" s="165"/>
    <row r="914" ht="15.75" customHeight="1" s="165"/>
    <row r="915" ht="15.75" customHeight="1" s="165"/>
    <row r="916" ht="15.75" customHeight="1" s="165"/>
    <row r="917" ht="15.75" customHeight="1" s="165"/>
    <row r="918" ht="15.75" customHeight="1" s="165"/>
    <row r="919" ht="15.75" customHeight="1" s="165"/>
    <row r="920" ht="15.75" customHeight="1" s="165"/>
    <row r="921" ht="15.75" customHeight="1" s="165"/>
    <row r="922" ht="15.75" customHeight="1" s="165"/>
    <row r="923" ht="15.75" customHeight="1" s="165"/>
    <row r="924" ht="15.75" customHeight="1" s="165"/>
    <row r="925" ht="15.75" customHeight="1" s="165"/>
    <row r="926" ht="15.75" customHeight="1" s="165"/>
    <row r="927" ht="15.75" customHeight="1" s="165"/>
    <row r="928" ht="15.75" customHeight="1" s="165"/>
    <row r="929" ht="15.75" customHeight="1" s="165"/>
    <row r="930" ht="15.75" customHeight="1" s="165"/>
    <row r="931" ht="15.75" customHeight="1" s="165"/>
    <row r="932" ht="15.75" customHeight="1" s="165"/>
    <row r="933" ht="15.75" customHeight="1" s="165"/>
    <row r="934" ht="15.75" customHeight="1" s="165"/>
    <row r="935" ht="15.75" customHeight="1" s="165"/>
    <row r="936" ht="15.75" customHeight="1" s="165"/>
    <row r="937" ht="15.75" customHeight="1" s="165"/>
    <row r="938" ht="15.75" customHeight="1" s="165"/>
    <row r="939" ht="15.75" customHeight="1" s="165"/>
    <row r="940" ht="15.75" customHeight="1" s="165"/>
    <row r="941" ht="15.75" customHeight="1" s="165"/>
    <row r="942" ht="15.75" customHeight="1" s="165"/>
    <row r="943" ht="15.75" customHeight="1" s="165"/>
    <row r="944" ht="15.75" customHeight="1" s="165"/>
    <row r="945" ht="15.75" customHeight="1" s="165"/>
    <row r="946" ht="15.75" customHeight="1" s="165"/>
    <row r="947" ht="15.75" customHeight="1" s="165"/>
    <row r="948" ht="15.75" customHeight="1" s="165"/>
    <row r="949" ht="15.75" customHeight="1" s="165"/>
    <row r="950" ht="15.75" customHeight="1" s="165"/>
    <row r="951" ht="15.75" customHeight="1" s="165"/>
    <row r="952" ht="15.75" customHeight="1" s="165"/>
    <row r="953" ht="15.75" customHeight="1" s="165"/>
    <row r="954" ht="15.75" customHeight="1" s="165"/>
    <row r="955" ht="15.75" customHeight="1" s="165"/>
    <row r="956" ht="15.75" customHeight="1" s="165"/>
    <row r="957" ht="15.75" customHeight="1" s="165"/>
    <row r="958" ht="15.75" customHeight="1" s="165"/>
    <row r="959" ht="15.75" customHeight="1" s="165"/>
    <row r="960" ht="15.75" customHeight="1" s="165"/>
    <row r="961" ht="15.75" customHeight="1" s="165"/>
    <row r="962" ht="15.75" customHeight="1" s="165"/>
    <row r="963" ht="15.75" customHeight="1" s="165"/>
    <row r="964" ht="15.75" customHeight="1" s="165"/>
    <row r="965" ht="15.75" customHeight="1" s="165"/>
    <row r="966" ht="15.75" customHeight="1" s="165"/>
    <row r="967" ht="15.75" customHeight="1" s="165"/>
    <row r="968" ht="15.75" customHeight="1" s="165"/>
    <row r="969" ht="15.75" customHeight="1" s="165"/>
    <row r="970" ht="15.75" customHeight="1" s="165"/>
    <row r="971" ht="15.75" customHeight="1" s="165"/>
    <row r="972" ht="15.75" customHeight="1" s="165"/>
    <row r="973" ht="15.75" customHeight="1" s="165"/>
    <row r="974" ht="15.75" customHeight="1" s="165"/>
    <row r="975" ht="15.75" customHeight="1" s="165"/>
    <row r="976" ht="15.75" customHeight="1" s="165"/>
    <row r="977" ht="15.75" customHeight="1" s="165"/>
    <row r="978" ht="15.75" customHeight="1" s="165"/>
    <row r="979" ht="15.75" customHeight="1" s="165"/>
    <row r="980" ht="15.75" customHeight="1" s="165"/>
    <row r="981" ht="15.75" customHeight="1" s="165"/>
    <row r="982" ht="15.75" customHeight="1" s="165"/>
    <row r="983" ht="15.75" customHeight="1" s="165"/>
    <row r="984" ht="15.75" customHeight="1" s="165"/>
    <row r="985" ht="15.75" customHeight="1" s="165"/>
    <row r="986" ht="15.75" customHeight="1" s="165"/>
    <row r="987" ht="15.75" customHeight="1" s="165"/>
    <row r="988" ht="15.75" customHeight="1" s="165"/>
    <row r="989" ht="15.75" customHeight="1" s="165"/>
    <row r="990" ht="15.75" customHeight="1" s="165"/>
    <row r="991" ht="15.75" customHeight="1" s="165"/>
    <row r="992" ht="15.75" customHeight="1" s="165"/>
    <row r="993" ht="15.75" customHeight="1" s="165"/>
    <row r="994" ht="15.75" customHeight="1" s="165"/>
    <row r="995" ht="15.75" customHeight="1" s="165"/>
    <row r="996" ht="15.75" customHeight="1" s="165"/>
    <row r="997" ht="15.75" customHeight="1" s="165"/>
    <row r="998" ht="15.75" customHeight="1" s="165"/>
    <row r="999" ht="15.75" customHeight="1" s="165"/>
  </sheetData>
  <mergeCells count="4">
    <mergeCell ref="B2:F2"/>
    <mergeCell ref="B6:D6"/>
    <mergeCell ref="B5:D5"/>
    <mergeCell ref="B4:D4"/>
  </mergeCells>
  <pageMargins left="0.4701388888888889" right="0.4701388888888889" top="0.5" bottom="0.3513888888888889" header="0" footer="0"/>
  <pageSetup orientation="landscape" paperSize="9"/>
  <headerFooter>
    <oddHeader/>
    <oddFooter>&amp;L 02ae-BM/PM/HDCV/FSOFT v2/1&amp;CInternal use&amp;R&amp;P/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selection activeCell="A1" sqref="A1"/>
    </sheetView>
  </sheetViews>
  <sheetFormatPr baseColWidth="8" defaultColWidth="12.63" defaultRowHeight="15" customHeight="1"/>
  <cols>
    <col width="1.38" customWidth="1" style="165" min="1" max="1"/>
    <col width="6.38" customWidth="1" style="165" min="2" max="2"/>
    <col width="26.5" customWidth="1" style="165" min="3" max="3"/>
    <col width="29.13" customWidth="1" style="165" min="4" max="4"/>
    <col width="65.13" customWidth="1" style="165" min="5" max="5"/>
    <col width="57.63" customWidth="1" style="165" min="6" max="6"/>
    <col width="9" customWidth="1" style="165" min="7" max="26"/>
  </cols>
  <sheetData>
    <row r="1" ht="34.5" customHeight="1" s="165">
      <c r="A1" s="10" t="n"/>
      <c r="B1" s="39" t="n"/>
      <c r="C1" s="40" t="n"/>
      <c r="D1" s="41" t="inlineStr">
        <is>
          <t>TEST CASE LIST</t>
        </is>
      </c>
      <c r="E1" s="42" t="n"/>
      <c r="F1" s="4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3.5" customHeight="1" s="165">
      <c r="A2" s="10" t="n"/>
      <c r="B2" s="39" t="n"/>
      <c r="C2" s="40" t="n"/>
      <c r="D2" s="43" t="n"/>
      <c r="E2" s="43" t="n"/>
      <c r="F2" s="4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2.75" customHeight="1" s="165">
      <c r="A3" s="10" t="n"/>
      <c r="B3" s="44" t="inlineStr">
        <is>
          <t>Project Name</t>
        </is>
      </c>
      <c r="C3" s="167" t="n"/>
      <c r="D3" s="174" t="inlineStr">
        <is>
          <t>Website bán Laptop</t>
        </is>
      </c>
      <c r="E3" s="167" t="n"/>
      <c r="F3" s="168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 ht="12.75" customHeight="1" s="165">
      <c r="A4" s="10" t="n"/>
      <c r="B4" s="44" t="inlineStr">
        <is>
          <t>Project Code</t>
        </is>
      </c>
      <c r="C4" s="167" t="n"/>
      <c r="D4" s="174" t="inlineStr">
        <is>
          <t>SWP391</t>
        </is>
      </c>
      <c r="E4" s="167" t="n"/>
      <c r="F4" s="168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</row>
    <row r="5">
      <c r="A5" s="204" t="n"/>
      <c r="B5" s="175" t="inlineStr">
        <is>
          <t>Test Environment Setup Description</t>
        </is>
      </c>
      <c r="C5" s="168" t="n"/>
      <c r="D5" s="176" t="inlineStr">
        <is>
          <t xml:space="preserve">1. Server: local development environment for Java Servlet/JSP application.
2. Database: SQL Server/SSMS test database.
3. Web Browser: Chrome/Edge browser
</t>
        </is>
      </c>
      <c r="E5" s="167" t="n"/>
      <c r="F5" s="168" t="n"/>
      <c r="G5" s="204" t="n"/>
      <c r="H5" s="204" t="n"/>
      <c r="I5" s="204" t="n"/>
      <c r="J5" s="204" t="n"/>
      <c r="K5" s="204" t="n"/>
      <c r="L5" s="204" t="n"/>
      <c r="M5" s="204" t="n"/>
      <c r="N5" s="204" t="n"/>
      <c r="O5" s="204" t="n"/>
      <c r="P5" s="204" t="n"/>
      <c r="Q5" s="204" t="n"/>
      <c r="R5" s="204" t="n"/>
      <c r="S5" s="204" t="n"/>
      <c r="T5" s="204" t="n"/>
      <c r="U5" s="204" t="n"/>
      <c r="V5" s="204" t="n"/>
      <c r="W5" s="204" t="n"/>
      <c r="X5" s="204" t="n"/>
      <c r="Y5" s="204" t="n"/>
      <c r="Z5" s="204" t="n"/>
    </row>
    <row r="6" ht="12.75" customHeight="1" s="165">
      <c r="A6" s="10" t="n"/>
      <c r="B6" s="5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</row>
    <row r="7" ht="12.75" customHeight="1" s="165">
      <c r="A7" s="51" t="n"/>
      <c r="B7" s="52" t="n"/>
      <c r="C7" s="53" t="n"/>
      <c r="D7" s="53" t="n"/>
      <c r="E7" s="53" t="n"/>
      <c r="F7" s="53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21" customHeight="1" s="165">
      <c r="A8" s="54" t="n"/>
      <c r="B8" s="55" t="inlineStr">
        <is>
          <t>No</t>
        </is>
      </c>
      <c r="C8" s="56" t="inlineStr">
        <is>
          <t>Function Name</t>
        </is>
      </c>
      <c r="D8" s="56" t="inlineStr">
        <is>
          <t>Sheet Name</t>
        </is>
      </c>
      <c r="E8" s="57" t="inlineStr">
        <is>
          <t>Description</t>
        </is>
      </c>
      <c r="F8" s="58" t="inlineStr">
        <is>
          <t>Pre-Condition</t>
        </is>
      </c>
      <c r="G8" s="54" t="n"/>
      <c r="H8" s="54" t="n"/>
      <c r="I8" s="54" t="n"/>
      <c r="J8" s="54" t="n"/>
      <c r="K8" s="54" t="n"/>
      <c r="L8" s="54" t="n"/>
      <c r="M8" s="54" t="n"/>
      <c r="N8" s="54" t="n"/>
      <c r="O8" s="54" t="n"/>
      <c r="P8" s="54" t="n"/>
      <c r="Q8" s="54" t="n"/>
      <c r="R8" s="54" t="n"/>
      <c r="S8" s="54" t="n"/>
      <c r="T8" s="54" t="n"/>
      <c r="U8" s="54" t="n"/>
      <c r="V8" s="54" t="n"/>
      <c r="W8" s="54" t="n"/>
      <c r="X8" s="54" t="n"/>
      <c r="Y8" s="54" t="n"/>
      <c r="Z8" s="54" t="n"/>
    </row>
    <row r="9" ht="12.75" customHeight="1" s="165">
      <c r="A9" s="59" t="n"/>
      <c r="B9" s="60" t="n">
        <v>1</v>
      </c>
      <c r="C9" s="61" t="inlineStr">
        <is>
          <t>Register Account</t>
        </is>
      </c>
      <c r="D9" s="62" t="inlineStr">
        <is>
          <t>Register_TC</t>
        </is>
      </c>
      <c r="E9" s="63" t="inlineStr">
        <is>
          <t>Verify successful customer registration with valid details.</t>
        </is>
      </c>
      <c r="F9" s="63" t="inlineStr">
        <is>
          <t>Guest does not have an active account with the provided email or phone number.</t>
        </is>
      </c>
      <c r="G9" s="64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</row>
    <row r="10" ht="12.75" customHeight="1" s="165">
      <c r="A10" s="59" t="n"/>
      <c r="B10" s="60" t="n">
        <v>2</v>
      </c>
      <c r="C10" s="61" t="inlineStr">
        <is>
          <t>Register Account</t>
        </is>
      </c>
      <c r="D10" s="62" t="inlineStr">
        <is>
          <t>Register_TC</t>
        </is>
      </c>
      <c r="E10" s="63" t="inlineStr">
        <is>
          <t>Verify system validation when required fields are
 left blank</t>
        </is>
      </c>
      <c r="F10" s="63" t="inlineStr">
        <is>
          <t>Guest is on the Register page.</t>
        </is>
      </c>
      <c r="G10" s="64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</row>
    <row r="11" ht="12.75" customHeight="1" s="165">
      <c r="A11" s="59" t="n"/>
      <c r="B11" s="60" t="n">
        <v>3</v>
      </c>
      <c r="C11" s="61" t="inlineStr">
        <is>
          <t>Register Account</t>
        </is>
      </c>
      <c r="D11" s="62" t="inlineStr">
        <is>
          <t>Register_TC</t>
        </is>
      </c>
      <c r="E11" s="63" t="inlineStr">
        <is>
          <t>Verify system validation when Full Name contains 
numbers or special characters.</t>
        </is>
      </c>
      <c r="F11" s="63" t="inlineStr">
        <is>
          <t>Guest is on the Register page.</t>
        </is>
      </c>
      <c r="G11" s="64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</row>
    <row r="12" ht="12.75" customHeight="1" s="165">
      <c r="A12" s="59" t="n"/>
      <c r="B12" s="60" t="n">
        <v>4</v>
      </c>
      <c r="C12" s="61" t="inlineStr">
        <is>
          <t>Register Account</t>
        </is>
      </c>
      <c r="D12" s="62" t="inlineStr">
        <is>
          <t>Register_TC</t>
        </is>
      </c>
      <c r="E12" s="63" t="inlineStr">
        <is>
          <t>Verify system validation when Full Name exceeds 
100 characters.</t>
        </is>
      </c>
      <c r="F12" s="63" t="inlineStr">
        <is>
          <t>Guest is on the Register page.</t>
        </is>
      </c>
      <c r="G12" s="64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 ht="12.75" customHeight="1" s="165">
      <c r="A13" s="59" t="n"/>
      <c r="B13" s="60" t="n">
        <v>5</v>
      </c>
      <c r="C13" s="61" t="inlineStr">
        <is>
          <t>Register Account</t>
        </is>
      </c>
      <c r="D13" s="62" t="inlineStr">
        <is>
          <t>Register_TC</t>
        </is>
      </c>
      <c r="E13" s="63" t="inlineStr">
        <is>
          <t>Verify system validation when Password and Confirm 
Password do not match.</t>
        </is>
      </c>
      <c r="F13" s="63" t="inlineStr">
        <is>
          <t>Guest is on the Register page.</t>
        </is>
      </c>
      <c r="G13" s="64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</row>
    <row r="14" ht="12.75" customHeight="1" s="165">
      <c r="A14" s="59" t="n"/>
      <c r="B14" s="60" t="n">
        <v>6</v>
      </c>
      <c r="C14" s="61" t="inlineStr">
        <is>
          <t>Register Account</t>
        </is>
      </c>
      <c r="D14" s="62" t="inlineStr">
        <is>
          <t>Register_TC</t>
        </is>
      </c>
      <c r="E14" s="63" t="inlineStr">
        <is>
          <t>Verify system validation when Email format is invalid.</t>
        </is>
      </c>
      <c r="F14" s="63" t="inlineStr">
        <is>
          <t>Guest is on the Register page.</t>
        </is>
      </c>
      <c r="G14" s="64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</row>
    <row r="15" ht="12.75" customHeight="1" s="165">
      <c r="A15" s="59" t="n"/>
      <c r="B15" s="60" t="n">
        <v>7</v>
      </c>
      <c r="C15" s="61" t="inlineStr">
        <is>
          <t>Register Account</t>
        </is>
      </c>
      <c r="D15" s="62" t="inlineStr">
        <is>
          <t>Register_TC</t>
        </is>
      </c>
      <c r="E15" s="63" t="inlineStr">
        <is>
          <t>Verify system validation when Phone format is invalid.</t>
        </is>
      </c>
      <c r="F15" s="63" t="inlineStr">
        <is>
          <t>Guest is on the Register page.</t>
        </is>
      </c>
      <c r="G15" s="64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</row>
    <row r="16" ht="12.75" customHeight="1" s="165">
      <c r="A16" s="59" t="n"/>
      <c r="B16" s="60" t="n">
        <v>8</v>
      </c>
      <c r="C16" s="61" t="inlineStr">
        <is>
          <t>Register Account</t>
        </is>
      </c>
      <c r="D16" s="62" t="inlineStr">
        <is>
          <t>Register_TC</t>
        </is>
      </c>
      <c r="E16" s="63" t="inlineStr">
        <is>
          <t>Verify system validation when Password is less than
 6 characters.</t>
        </is>
      </c>
      <c r="F16" s="63" t="inlineStr">
        <is>
          <t>Guest is on the Register page.</t>
        </is>
      </c>
      <c r="G16" s="64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</row>
    <row r="17" ht="12.75" customHeight="1" s="165">
      <c r="A17" s="59" t="n"/>
      <c r="B17" s="60" t="n">
        <v>9</v>
      </c>
      <c r="C17" s="61" t="inlineStr">
        <is>
          <t>Register Account</t>
        </is>
      </c>
      <c r="D17" s="62" t="inlineStr">
        <is>
          <t>Register_TC</t>
        </is>
      </c>
      <c r="E17" s="63" t="inlineStr">
        <is>
          <t>Verify system validation when the Email is already in
 use.</t>
        </is>
      </c>
      <c r="F17" s="63" t="inlineStr">
        <is>
          <t>Guest enters an email that is already
 registered in the system.</t>
        </is>
      </c>
      <c r="G17" s="64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</row>
    <row r="18" ht="12.75" customHeight="1" s="165">
      <c r="A18" s="59" t="n"/>
      <c r="B18" s="60" t="n">
        <v>10</v>
      </c>
      <c r="C18" s="61" t="inlineStr">
        <is>
          <t>Register Account</t>
        </is>
      </c>
      <c r="D18" s="62" t="inlineStr">
        <is>
          <t>Register_TC</t>
        </is>
      </c>
      <c r="E18" s="63" t="inlineStr">
        <is>
          <t>Verify system validation when the Phone number
 is already in use.</t>
        </is>
      </c>
      <c r="F18" s="63" t="inlineStr">
        <is>
          <t>Guest enters a phone number that is 
already registered in the system.</t>
        </is>
      </c>
      <c r="G18" s="64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</row>
    <row r="19" ht="12.75" customHeight="1" s="165">
      <c r="A19" s="59" t="n"/>
      <c r="B19" s="60" t="n">
        <v>11</v>
      </c>
      <c r="C19" s="61" t="inlineStr">
        <is>
          <t>Login</t>
        </is>
      </c>
      <c r="D19" s="62" t="inlineStr">
        <is>
          <t>Login_TC</t>
        </is>
      </c>
      <c r="E19" s="63" t="inlineStr">
        <is>
          <t>Verify successful login with valid account
 credentials.</t>
        </is>
      </c>
      <c r="F19" s="63" t="inlineStr">
        <is>
          <t>User account exists and is currently 
active in the database.</t>
        </is>
      </c>
      <c r="G19" s="64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 ht="12.75" customHeight="1" s="165">
      <c r="A20" s="59" t="n"/>
      <c r="B20" s="60" t="n">
        <v>12</v>
      </c>
      <c r="C20" s="61" t="inlineStr">
        <is>
          <t>Login</t>
        </is>
      </c>
      <c r="D20" s="62" t="inlineStr">
        <is>
          <t>Login_TC</t>
        </is>
      </c>
      <c r="E20" s="63" t="inlineStr">
        <is>
          <t>Verify successful login via Google OAuth integration.</t>
        </is>
      </c>
      <c r="F20" s="63" t="inlineStr">
        <is>
          <t>User has a valid and active Google
 account.</t>
        </is>
      </c>
      <c r="G20" s="64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 ht="12.75" customHeight="1" s="165">
      <c r="A21" s="59" t="n"/>
      <c r="B21" s="60" t="n">
        <v>13</v>
      </c>
      <c r="C21" s="61" t="inlineStr">
        <is>
          <t>Login</t>
        </is>
      </c>
      <c r="D21" s="62" t="inlineStr">
        <is>
          <t>Login_TC</t>
        </is>
      </c>
      <c r="E21" s="63" t="inlineStr">
        <is>
          <t>Verify login failure when entering incorrect email or password</t>
        </is>
      </c>
      <c r="F21" s="63" t="inlineStr">
        <is>
          <t>User is on the Login page.</t>
        </is>
      </c>
      <c r="G21" s="64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 ht="12.75" customHeight="1" s="165">
      <c r="A22" s="59" t="n"/>
      <c r="B22" s="60" t="n">
        <v>14</v>
      </c>
      <c r="C22" s="61" t="inlineStr">
        <is>
          <t>Login</t>
        </is>
      </c>
      <c r="D22" s="62" t="inlineStr">
        <is>
          <t>Login_TC</t>
        </is>
      </c>
      <c r="E22" s="63" t="inlineStr">
        <is>
          <t>Verify login failure when the account has been locked or deactivated.</t>
        </is>
      </c>
      <c r="F22" s="63" t="inlineStr">
        <is>
          <t>User account is locked/inactive in the database.</t>
        </is>
      </c>
      <c r="G22" s="64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 ht="12.75" customHeight="1" s="165">
      <c r="A23" s="59" t="n"/>
      <c r="B23" s="60" t="n">
        <v>15</v>
      </c>
      <c r="C23" s="61" t="inlineStr">
        <is>
          <t>Logout</t>
        </is>
      </c>
      <c r="D23" s="62" t="inlineStr">
        <is>
          <t>Logout_TC</t>
        </is>
      </c>
      <c r="E23" s="63" t="inlineStr">
        <is>
          <t>Verify successful logout from the system.</t>
        </is>
      </c>
      <c r="F23" s="63" t="inlineStr">
        <is>
          <t>User is logged in.</t>
        </is>
      </c>
      <c r="G23" s="64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 ht="12.75" customHeight="1" s="165">
      <c r="A24" s="59" t="n"/>
      <c r="B24" s="60" t="n">
        <v>16</v>
      </c>
      <c r="C24" s="61" t="inlineStr">
        <is>
          <t>Request Password Reset</t>
        </is>
      </c>
      <c r="D24" s="62" t="inlineStr">
        <is>
          <t>RequestReset_TC</t>
        </is>
      </c>
      <c r="E24" s="63" t="inlineStr">
        <is>
          <t>Verify recovery request with a valid registered email address.</t>
        </is>
      </c>
      <c r="F24" s="63" t="inlineStr">
        <is>
          <t>Guest does not have active session.</t>
        </is>
      </c>
      <c r="G24" s="64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 ht="12.75" customHeight="1" s="165">
      <c r="A25" s="59" t="n"/>
      <c r="B25" s="60" t="n">
        <v>17</v>
      </c>
      <c r="C25" s="61" t="inlineStr">
        <is>
          <t>Request Password Reset</t>
        </is>
      </c>
      <c r="D25" s="62" t="inlineStr">
        <is>
          <t>RequestReset_TC</t>
        </is>
      </c>
      <c r="E25" s="63" t="inlineStr">
        <is>
          <t>Verify validation when email input is empty.</t>
        </is>
      </c>
      <c r="F25" s="63" t="inlineStr">
        <is>
          <t>Guest is on Forgot Password page.</t>
        </is>
      </c>
      <c r="G25" s="64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 ht="12.75" customHeight="1" s="165">
      <c r="A26" s="59" t="n"/>
      <c r="B26" s="60" t="n">
        <v>18</v>
      </c>
      <c r="C26" s="61" t="inlineStr">
        <is>
          <t>Request Password Reset</t>
        </is>
      </c>
      <c r="D26" s="62" t="inlineStr">
        <is>
          <t>RequestReset_TC</t>
        </is>
      </c>
      <c r="E26" s="63" t="inlineStr">
        <is>
          <t>Verify validation when email address is not registered.</t>
        </is>
      </c>
      <c r="F26" s="63" t="inlineStr">
        <is>
          <t>Guest is on Forgot Password page.</t>
        </is>
      </c>
      <c r="G26" s="64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 ht="12.75" customHeight="1" s="165">
      <c r="A27" s="59" t="n"/>
      <c r="B27" s="60" t="n">
        <v>19</v>
      </c>
      <c r="C27" s="61" t="inlineStr">
        <is>
          <t>Reset Password</t>
        </is>
      </c>
      <c r="D27" s="62" t="inlineStr">
        <is>
          <t>ResetPassword_TC</t>
        </is>
      </c>
      <c r="E27" s="63" t="inlineStr">
        <is>
          <t>Verify resetting password with valid token and matching passwords.</t>
        </is>
      </c>
      <c r="F27" s="63" t="inlineStr">
        <is>
          <t>User clicked valid reset link.</t>
        </is>
      </c>
      <c r="G27" s="64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 ht="12.75" customHeight="1" s="165">
      <c r="A28" s="59" t="n"/>
      <c r="B28" s="60" t="n">
        <v>20</v>
      </c>
      <c r="C28" s="61" t="inlineStr">
        <is>
          <t>Reset Password</t>
        </is>
      </c>
      <c r="D28" s="62" t="inlineStr">
        <is>
          <t>ResetPassword_TC</t>
        </is>
      </c>
      <c r="E28" s="63" t="inlineStr">
        <is>
          <t>Verify error when token is expired (exceeding 15 minutes).</t>
        </is>
      </c>
      <c r="F28" s="63" t="inlineStr">
        <is>
          <t>User has reset token older than 15 mins.</t>
        </is>
      </c>
      <c r="G28" s="64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 ht="12.75" customHeight="1" s="165">
      <c r="A29" s="59" t="n"/>
      <c r="B29" s="60" t="n">
        <v>21</v>
      </c>
      <c r="C29" s="61" t="inlineStr">
        <is>
          <t>Reset Password</t>
        </is>
      </c>
      <c r="D29" s="62" t="inlineStr">
        <is>
          <t>ResetPassword_TC</t>
        </is>
      </c>
      <c r="E29" s="63" t="inlineStr">
        <is>
          <t>Verify validation when new password and confirmation do not match.</t>
        </is>
      </c>
      <c r="F29" s="63" t="inlineStr">
        <is>
          <t>User is on Reset Password page.</t>
        </is>
      </c>
      <c r="G29" s="64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 ht="12.75" customHeight="1" s="165">
      <c r="A30" s="59" t="n"/>
      <c r="B30" s="60" t="n">
        <v>22</v>
      </c>
      <c r="C30" s="61" t="inlineStr">
        <is>
          <t>Reset Password</t>
        </is>
      </c>
      <c r="D30" s="62" t="inlineStr">
        <is>
          <t>ResetPassword_TC</t>
        </is>
      </c>
      <c r="E30" s="63" t="inlineStr">
        <is>
          <t>Verify validation when new password is under 6 characters.</t>
        </is>
      </c>
      <c r="F30" s="63" t="inlineStr">
        <is>
          <t>User is on Reset Password page.</t>
        </is>
      </c>
      <c r="G30" s="64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 ht="12.75" customHeight="1" s="165">
      <c r="A31" s="59" t="n"/>
      <c r="B31" s="60" t="n">
        <v>23</v>
      </c>
      <c r="C31" s="61" t="inlineStr">
        <is>
          <t>Change Password</t>
        </is>
      </c>
      <c r="D31" s="62" t="inlineStr">
        <is>
          <t>ChangePassword_TC</t>
        </is>
      </c>
      <c r="E31" s="63" t="inlineStr">
        <is>
          <t>Verify successful password change with valid current and new password.</t>
        </is>
      </c>
      <c r="F31" s="63" t="inlineStr">
        <is>
          <t>User is logged in.</t>
        </is>
      </c>
      <c r="G31" s="64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 ht="12.75" customHeight="1" s="165">
      <c r="A32" s="59" t="n"/>
      <c r="B32" s="60" t="n">
        <v>24</v>
      </c>
      <c r="C32" s="61" t="inlineStr">
        <is>
          <t>Change Password</t>
        </is>
      </c>
      <c r="D32" s="62" t="inlineStr">
        <is>
          <t>ChangePassword_TC</t>
        </is>
      </c>
      <c r="E32" s="63" t="inlineStr">
        <is>
          <t>Verify error when current password is incorrect.</t>
        </is>
      </c>
      <c r="F32" s="63" t="inlineStr">
        <is>
          <t>User is logged in.</t>
        </is>
      </c>
      <c r="G32" s="64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 ht="12.75" customHeight="1" s="165">
      <c r="A33" s="59" t="n"/>
      <c r="B33" s="60" t="n">
        <v>25</v>
      </c>
      <c r="C33" s="61" t="inlineStr">
        <is>
          <t>Change Password</t>
        </is>
      </c>
      <c r="D33" s="62" t="inlineStr">
        <is>
          <t>ChangePassword_TC</t>
        </is>
      </c>
      <c r="E33" s="63" t="inlineStr">
        <is>
          <t>Verify error when new password matches the current password.</t>
        </is>
      </c>
      <c r="F33" s="63" t="inlineStr">
        <is>
          <t>User is logged in.</t>
        </is>
      </c>
      <c r="G33" s="64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 ht="12.75" customHeight="1" s="165">
      <c r="A34" s="59" t="n"/>
      <c r="B34" s="60" t="n">
        <v>26</v>
      </c>
      <c r="C34" s="61" t="inlineStr">
        <is>
          <t>Change Password</t>
        </is>
      </c>
      <c r="D34" s="62" t="inlineStr">
        <is>
          <t>ChangePassword_TC</t>
        </is>
      </c>
      <c r="E34" s="63" t="inlineStr">
        <is>
          <t>Verify error when confirmation does not match new password.</t>
        </is>
      </c>
      <c r="F34" s="63" t="inlineStr">
        <is>
          <t>User is logged in.</t>
        </is>
      </c>
      <c r="G34" s="64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 ht="12.75" customHeight="1" s="165">
      <c r="A35" s="59" t="n"/>
      <c r="B35" s="60" t="n">
        <v>27</v>
      </c>
      <c r="C35" s="61" t="inlineStr">
        <is>
          <t>Update Personal Profile</t>
        </is>
      </c>
      <c r="D35" s="62" t="inlineStr">
        <is>
          <t>UpdateProfile_TC</t>
        </is>
      </c>
      <c r="E35" s="63" t="inlineStr">
        <is>
          <t>Verify successful update of Full Name and Phone Number.</t>
        </is>
      </c>
      <c r="F35" s="63" t="inlineStr">
        <is>
          <t>User is logged in.</t>
        </is>
      </c>
      <c r="G35" s="64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 ht="12.75" customHeight="1" s="165">
      <c r="A36" s="59" t="n"/>
      <c r="B36" s="60" t="n">
        <v>28</v>
      </c>
      <c r="C36" s="61" t="inlineStr">
        <is>
          <t>Update Personal Profile</t>
        </is>
      </c>
      <c r="D36" s="62" t="inlineStr">
        <is>
          <t>UpdateProfile_TC</t>
        </is>
      </c>
      <c r="E36" s="63" t="inlineStr">
        <is>
          <t>Verify successful avatar image upload under 10MB.</t>
        </is>
      </c>
      <c r="F36" s="63" t="inlineStr">
        <is>
          <t>User is logged in.</t>
        </is>
      </c>
      <c r="G36" s="64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 ht="12.75" customHeight="1" s="165">
      <c r="A37" s="59" t="n"/>
      <c r="B37" s="60" t="n">
        <v>29</v>
      </c>
      <c r="C37" s="61" t="inlineStr">
        <is>
          <t>Update Personal Profile</t>
        </is>
      </c>
      <c r="D37" s="62" t="inlineStr">
        <is>
          <t>UpdateProfile_TC</t>
        </is>
      </c>
      <c r="E37" s="63" t="inlineStr">
        <is>
          <t>Verify system blocks non-image file uploads.</t>
        </is>
      </c>
      <c r="F37" s="63" t="inlineStr">
        <is>
          <t>User is logged in.</t>
        </is>
      </c>
      <c r="G37" s="64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 ht="12.75" customHeight="1" s="165">
      <c r="A38" s="59" t="n"/>
      <c r="B38" s="60" t="n">
        <v>30</v>
      </c>
      <c r="C38" s="61" t="inlineStr">
        <is>
          <t>View Personal Profile</t>
        </is>
      </c>
      <c r="D38" s="62" t="inlineStr">
        <is>
          <t>ViewProfile_TC</t>
        </is>
      </c>
      <c r="E38" s="63" t="inlineStr">
        <is>
          <t>Verify profile page displays fresh user details from DB.</t>
        </is>
      </c>
      <c r="F38" s="63" t="inlineStr">
        <is>
          <t>User is logged in.</t>
        </is>
      </c>
      <c r="G38" s="64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 ht="12.75" customHeight="1" s="165">
      <c r="A39" s="59" t="n"/>
      <c r="B39" s="60" t="n">
        <v>31</v>
      </c>
      <c r="C39" s="61" t="inlineStr">
        <is>
          <t>View Personal Profile</t>
        </is>
      </c>
      <c r="D39" s="62" t="inlineStr">
        <is>
          <t>ViewProfile_TC</t>
        </is>
      </c>
      <c r="E39" s="63" t="inlineStr">
        <is>
          <t>Verify unauthenticated guest cannot access profile page.</t>
        </is>
      </c>
      <c r="F39" s="63" t="inlineStr">
        <is>
          <t>User session is invalid.</t>
        </is>
      </c>
      <c r="G39" s="64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 ht="12.75" customHeight="1" s="165">
      <c r="A40" s="59" t="n"/>
      <c r="B40" s="60" t="n">
        <v>32</v>
      </c>
      <c r="C40" s="61" t="inlineStr">
        <is>
          <t>View Account List</t>
        </is>
      </c>
      <c r="D40" s="62" t="inlineStr">
        <is>
          <t>ViewAccountList_TC</t>
        </is>
      </c>
      <c r="E40" s="63" t="inlineStr">
        <is>
          <t>Verify account list displays paginated users (max 10 records).</t>
        </is>
      </c>
      <c r="F40" s="63" t="inlineStr">
        <is>
          <t>Admin is logged in.</t>
        </is>
      </c>
      <c r="G40" s="64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 ht="12.75" customHeight="1" s="165">
      <c r="A41" s="59" t="n"/>
      <c r="B41" s="60" t="n">
        <v>33</v>
      </c>
      <c r="C41" s="61" t="inlineStr">
        <is>
          <t>View Account List</t>
        </is>
      </c>
      <c r="D41" s="62" t="inlineStr">
        <is>
          <t>ViewAccountList_TC</t>
        </is>
      </c>
      <c r="E41" s="63" t="inlineStr">
        <is>
          <t>Verify search directory by name or email keyword.</t>
        </is>
      </c>
      <c r="F41" s="63" t="inlineStr">
        <is>
          <t>Admin is logged in.</t>
        </is>
      </c>
      <c r="G41" s="64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 ht="12.75" customHeight="1" s="165">
      <c r="A42" s="59" t="n"/>
      <c r="B42" s="60" t="n">
        <v>34</v>
      </c>
      <c r="C42" s="61" t="inlineStr">
        <is>
          <t>View Account List</t>
        </is>
      </c>
      <c r="D42" s="62" t="inlineStr">
        <is>
          <t>ViewAccountList_TC</t>
        </is>
      </c>
      <c r="E42" s="63" t="inlineStr">
        <is>
          <t>Verify filtering users by role and status.</t>
        </is>
      </c>
      <c r="F42" s="63" t="inlineStr">
        <is>
          <t>Admin is logged in.</t>
        </is>
      </c>
      <c r="G42" s="64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 ht="12.75" customHeight="1" s="165">
      <c r="A43" s="59" t="n"/>
      <c r="B43" s="60" t="n">
        <v>35</v>
      </c>
      <c r="C43" s="61" t="inlineStr">
        <is>
          <t>Change Account Status</t>
        </is>
      </c>
      <c r="D43" s="62" t="inlineStr">
        <is>
          <t>ChangeStatus_TC</t>
        </is>
      </c>
      <c r="E43" s="63" t="inlineStr">
        <is>
          <t>Verify locking and unlocking a customer account.</t>
        </is>
      </c>
      <c r="F43" s="63" t="inlineStr">
        <is>
          <t>Admin is logged in.</t>
        </is>
      </c>
      <c r="G43" s="64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 ht="12.75" customHeight="1" s="165">
      <c r="A44" s="59" t="n"/>
      <c r="B44" s="60" t="n">
        <v>36</v>
      </c>
      <c r="C44" s="61" t="inlineStr">
        <is>
          <t>Change Account Status</t>
        </is>
      </c>
      <c r="D44" s="62" t="inlineStr">
        <is>
          <t>ChangeStatus_TC</t>
        </is>
      </c>
      <c r="E44" s="63" t="inlineStr">
        <is>
          <t>Verify Admin cannot lock their own account.</t>
        </is>
      </c>
      <c r="F44" s="63" t="inlineStr">
        <is>
          <t>Admin is logged in.</t>
        </is>
      </c>
      <c r="G44" s="64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 ht="12.75" customHeight="1" s="165">
      <c r="A45" s="59" t="n"/>
      <c r="B45" s="60" t="n">
        <v>37</v>
      </c>
      <c r="C45" s="61" t="inlineStr">
        <is>
          <t>Change Account Role</t>
        </is>
      </c>
      <c r="D45" s="62" t="inlineStr">
        <is>
          <t>ChangeRole_TC</t>
        </is>
      </c>
      <c r="E45" s="63" t="inlineStr">
        <is>
          <t>Verify reassigning user role to Admin, Staff or Customer.</t>
        </is>
      </c>
      <c r="F45" s="63" t="inlineStr">
        <is>
          <t>Admin is logged in.</t>
        </is>
      </c>
      <c r="G45" s="64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 ht="12.75" customHeight="1" s="165">
      <c r="A46" s="59" t="n"/>
      <c r="B46" s="60" t="n">
        <v>38</v>
      </c>
      <c r="C46" s="61" t="inlineStr">
        <is>
          <t>Change Account Role</t>
        </is>
      </c>
      <c r="D46" s="62" t="inlineStr">
        <is>
          <t>ChangeRole_TC</t>
        </is>
      </c>
      <c r="E46" s="63" t="inlineStr">
        <is>
          <t>Verify Admin cannot change their own role.</t>
        </is>
      </c>
      <c r="F46" s="63" t="inlineStr">
        <is>
          <t>Admin is logged in.</t>
        </is>
      </c>
      <c r="G46" s="64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 ht="12.75" customHeight="1" s="165">
      <c r="A47" s="59" t="n"/>
      <c r="B47" s="60" t="n">
        <v>39</v>
      </c>
      <c r="C47" s="61" t="inlineStr">
        <is>
          <t>Add New User Account</t>
        </is>
      </c>
      <c r="D47" s="62" t="inlineStr">
        <is>
          <t>AddAccount_TC</t>
        </is>
      </c>
      <c r="E47" s="63" t="inlineStr">
        <is>
          <t>Verify account creation with valid unique details.</t>
        </is>
      </c>
      <c r="F47" s="63" t="inlineStr">
        <is>
          <t>Admin is logged in.</t>
        </is>
      </c>
      <c r="G47" s="64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 ht="12.75" customHeight="1" s="165">
      <c r="A48" s="59" t="n"/>
      <c r="B48" s="60" t="n">
        <v>40</v>
      </c>
      <c r="C48" s="61" t="inlineStr">
        <is>
          <t>Add New User Account</t>
        </is>
      </c>
      <c r="D48" s="62" t="inlineStr">
        <is>
          <t>AddAccount_TC</t>
        </is>
      </c>
      <c r="E48" s="63" t="inlineStr">
        <is>
          <t>Verify creation error on duplicate email address.</t>
        </is>
      </c>
      <c r="F48" s="63" t="inlineStr">
        <is>
          <t>Admin is logged in.</t>
        </is>
      </c>
      <c r="G48" s="64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 ht="12.75" customHeight="1" s="165">
      <c r="A49" s="59" t="n"/>
      <c r="B49" s="60" t="n">
        <v>41</v>
      </c>
      <c r="C49" s="61" t="inlineStr">
        <is>
          <t>Add New User Account</t>
        </is>
      </c>
      <c r="D49" s="62" t="inlineStr">
        <is>
          <t>AddAccount_TC</t>
        </is>
      </c>
      <c r="E49" s="63" t="inlineStr">
        <is>
          <t>Verify creation error on duplicate phone number.</t>
        </is>
      </c>
      <c r="F49" s="63" t="inlineStr">
        <is>
          <t>Admin is logged in.</t>
        </is>
      </c>
      <c r="G49" s="64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 ht="12.75" customHeight="1" s="165">
      <c r="A50" s="59" t="n"/>
      <c r="B50" s="60" t="n">
        <v>42</v>
      </c>
      <c r="C50" s="61" t="inlineStr">
        <is>
          <t>Add New User Account</t>
        </is>
      </c>
      <c r="D50" s="62" t="inlineStr">
        <is>
          <t>AddAccount_TC</t>
        </is>
      </c>
      <c r="E50" s="63" t="inlineStr">
        <is>
          <t>Verify input validations block invalid formats.</t>
        </is>
      </c>
      <c r="F50" s="63" t="inlineStr">
        <is>
          <t>Admin is logged in.</t>
        </is>
      </c>
      <c r="G50" s="64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 ht="12.75" customHeight="1" s="165">
      <c r="A51" s="59" t="n"/>
      <c r="B51" s="60" t="n">
        <v>43</v>
      </c>
      <c r="C51" s="61" t="inlineStr">
        <is>
          <t>View Account Detail</t>
        </is>
      </c>
      <c r="D51" s="62" t="inlineStr">
        <is>
          <t>ViewDetail_TC</t>
        </is>
      </c>
      <c r="E51" s="63" t="inlineStr">
        <is>
          <t>Verify opening details modal displays correct account attributes.</t>
        </is>
      </c>
      <c r="F51" s="63" t="inlineStr">
        <is>
          <t>Admin is logged in.</t>
        </is>
      </c>
      <c r="G51" s="64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 ht="12.75" customHeight="1" s="165">
      <c r="A52" s="59" t="n"/>
      <c r="B52" s="60" t="n">
        <v>44</v>
      </c>
      <c r="C52" s="61" t="inlineStr">
        <is>
          <t>View Account Detail</t>
        </is>
      </c>
      <c r="D52" s="62" t="inlineStr">
        <is>
          <t>ViewDetail_TC</t>
        </is>
      </c>
      <c r="E52" s="63" t="inlineStr">
        <is>
          <t>Verify modal displays friendly fallbacks for missing values.</t>
        </is>
      </c>
      <c r="F52" s="63" t="inlineStr">
        <is>
          <t>Admin is logged in.</t>
        </is>
      </c>
      <c r="G52" s="64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 ht="12.75" customHeight="1" s="165">
      <c r="A53" s="2" t="n"/>
      <c r="B53" s="227" t="n"/>
      <c r="C53" s="1" t="n"/>
      <c r="D53" s="1" t="n"/>
      <c r="E53" s="1" t="n"/>
      <c r="F53" s="1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2.75" customHeight="1" s="165">
      <c r="A54" s="2" t="n"/>
      <c r="B54" s="227" t="n"/>
      <c r="C54" s="1" t="n"/>
      <c r="D54" s="1" t="n"/>
      <c r="E54" s="1" t="n"/>
      <c r="F54" s="1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2.75" customHeight="1" s="165">
      <c r="A55" s="2" t="n"/>
      <c r="B55" s="227" t="n"/>
      <c r="C55" s="1" t="n"/>
      <c r="D55" s="1" t="n"/>
      <c r="E55" s="1" t="n"/>
      <c r="F55" s="1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2.75" customHeight="1" s="165">
      <c r="A56" s="2" t="n"/>
      <c r="B56" s="227" t="n"/>
      <c r="C56" s="1" t="n"/>
      <c r="D56" s="1" t="n"/>
      <c r="E56" s="1" t="n"/>
      <c r="F56" s="1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2.75" customHeight="1" s="165">
      <c r="A57" s="2" t="n"/>
      <c r="B57" s="227" t="n"/>
      <c r="C57" s="1" t="n"/>
      <c r="D57" s="1" t="n"/>
      <c r="E57" s="1" t="n"/>
      <c r="F57" s="1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2.75" customHeight="1" s="165">
      <c r="A58" s="2" t="n"/>
      <c r="B58" s="227" t="n"/>
      <c r="C58" s="1" t="n"/>
      <c r="D58" s="1" t="n"/>
      <c r="E58" s="1" t="n"/>
      <c r="F58" s="1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2.75" customHeight="1" s="165">
      <c r="A59" s="2" t="n"/>
      <c r="B59" s="227" t="n"/>
      <c r="C59" s="1" t="n"/>
      <c r="D59" s="1" t="n"/>
      <c r="E59" s="1" t="n"/>
      <c r="F59" s="1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2.75" customHeight="1" s="165">
      <c r="A60" s="2" t="n"/>
      <c r="B60" s="227" t="n"/>
      <c r="C60" s="1" t="n"/>
      <c r="D60" s="1" t="n"/>
      <c r="E60" s="1" t="n"/>
      <c r="F60" s="1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2.75" customHeight="1" s="165">
      <c r="A61" s="2" t="n"/>
      <c r="B61" s="227" t="n"/>
      <c r="C61" s="1" t="n"/>
      <c r="D61" s="1" t="n"/>
      <c r="E61" s="1" t="n"/>
      <c r="F61" s="1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2.75" customHeight="1" s="165">
      <c r="A62" s="2" t="n"/>
      <c r="B62" s="227" t="n"/>
      <c r="C62" s="1" t="n"/>
      <c r="D62" s="1" t="n"/>
      <c r="E62" s="1" t="n"/>
      <c r="F62" s="1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 s="165">
      <c r="A63" s="2" t="n"/>
      <c r="B63" s="227" t="n"/>
      <c r="C63" s="1" t="n"/>
      <c r="D63" s="1" t="n"/>
      <c r="E63" s="1" t="n"/>
      <c r="F63" s="1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 s="165">
      <c r="A64" s="2" t="n"/>
      <c r="B64" s="227" t="n"/>
      <c r="C64" s="1" t="n"/>
      <c r="D64" s="1" t="n"/>
      <c r="E64" s="1" t="n"/>
      <c r="F64" s="1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 s="165">
      <c r="A65" s="2" t="n"/>
      <c r="B65" s="227" t="n"/>
      <c r="C65" s="1" t="n"/>
      <c r="D65" s="1" t="n"/>
      <c r="E65" s="1" t="n"/>
      <c r="F65" s="1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 s="165">
      <c r="A66" s="2" t="n"/>
      <c r="B66" s="227" t="n"/>
      <c r="C66" s="1" t="n"/>
      <c r="D66" s="1" t="n"/>
      <c r="E66" s="1" t="n"/>
      <c r="F66" s="1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 s="165">
      <c r="A67" s="2" t="n"/>
      <c r="B67" s="227" t="n"/>
      <c r="C67" s="1" t="n"/>
      <c r="D67" s="1" t="n"/>
      <c r="E67" s="1" t="n"/>
      <c r="F67" s="1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 s="165">
      <c r="A68" s="2" t="n"/>
      <c r="B68" s="227" t="n"/>
      <c r="C68" s="1" t="n"/>
      <c r="D68" s="1" t="n"/>
      <c r="E68" s="1" t="n"/>
      <c r="F68" s="1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 s="165">
      <c r="A69" s="2" t="n"/>
      <c r="B69" s="227" t="n"/>
      <c r="C69" s="1" t="n"/>
      <c r="D69" s="1" t="n"/>
      <c r="E69" s="1" t="n"/>
      <c r="F69" s="1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 s="165">
      <c r="A70" s="2" t="n"/>
      <c r="B70" s="227" t="n"/>
      <c r="C70" s="1" t="n"/>
      <c r="D70" s="1" t="n"/>
      <c r="E70" s="1" t="n"/>
      <c r="F70" s="1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 s="165">
      <c r="A71" s="2" t="n"/>
      <c r="B71" s="227" t="n"/>
      <c r="C71" s="1" t="n"/>
      <c r="D71" s="1" t="n"/>
      <c r="E71" s="1" t="n"/>
      <c r="F71" s="1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 s="165">
      <c r="A72" s="2" t="n"/>
      <c r="B72" s="227" t="n"/>
      <c r="C72" s="1" t="n"/>
      <c r="D72" s="1" t="n"/>
      <c r="E72" s="1" t="n"/>
      <c r="F72" s="1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 s="165">
      <c r="A73" s="2" t="n"/>
      <c r="B73" s="227" t="n"/>
      <c r="C73" s="1" t="n"/>
      <c r="D73" s="1" t="n"/>
      <c r="E73" s="1" t="n"/>
      <c r="F73" s="1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 s="165">
      <c r="A74" s="2" t="n"/>
      <c r="B74" s="227" t="n"/>
      <c r="C74" s="1" t="n"/>
      <c r="D74" s="1" t="n"/>
      <c r="E74" s="1" t="n"/>
      <c r="F74" s="1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 s="165">
      <c r="A75" s="2" t="n"/>
      <c r="B75" s="227" t="n"/>
      <c r="C75" s="1" t="n"/>
      <c r="D75" s="1" t="n"/>
      <c r="E75" s="1" t="n"/>
      <c r="F75" s="1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 s="165">
      <c r="A76" s="2" t="n"/>
      <c r="B76" s="227" t="n"/>
      <c r="C76" s="1" t="n"/>
      <c r="D76" s="1" t="n"/>
      <c r="E76" s="1" t="n"/>
      <c r="F76" s="1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 s="165">
      <c r="A77" s="2" t="n"/>
      <c r="B77" s="227" t="n"/>
      <c r="C77" s="1" t="n"/>
      <c r="D77" s="1" t="n"/>
      <c r="E77" s="1" t="n"/>
      <c r="F77" s="1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 s="165">
      <c r="A78" s="2" t="n"/>
      <c r="B78" s="227" t="n"/>
      <c r="C78" s="1" t="n"/>
      <c r="D78" s="1" t="n"/>
      <c r="E78" s="1" t="n"/>
      <c r="F78" s="1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 s="165">
      <c r="A79" s="2" t="n"/>
      <c r="B79" s="227" t="n"/>
      <c r="C79" s="1" t="n"/>
      <c r="D79" s="1" t="n"/>
      <c r="E79" s="1" t="n"/>
      <c r="F79" s="1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 s="165">
      <c r="A80" s="2" t="n"/>
      <c r="B80" s="227" t="n"/>
      <c r="C80" s="1" t="n"/>
      <c r="D80" s="1" t="n"/>
      <c r="E80" s="1" t="n"/>
      <c r="F80" s="1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 s="165">
      <c r="A81" s="2" t="n"/>
      <c r="B81" s="227" t="n"/>
      <c r="C81" s="1" t="n"/>
      <c r="D81" s="1" t="n"/>
      <c r="E81" s="1" t="n"/>
      <c r="F81" s="1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 s="165">
      <c r="A82" s="2" t="n"/>
      <c r="B82" s="227" t="n"/>
      <c r="C82" s="1" t="n"/>
      <c r="D82" s="1" t="n"/>
      <c r="E82" s="1" t="n"/>
      <c r="F82" s="1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 s="165">
      <c r="A83" s="2" t="n"/>
      <c r="B83" s="227" t="n"/>
      <c r="C83" s="1" t="n"/>
      <c r="D83" s="1" t="n"/>
      <c r="E83" s="1" t="n"/>
      <c r="F83" s="1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 s="165">
      <c r="A84" s="2" t="n"/>
      <c r="B84" s="227" t="n"/>
      <c r="C84" s="1" t="n"/>
      <c r="D84" s="1" t="n"/>
      <c r="E84" s="1" t="n"/>
      <c r="F84" s="1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 s="165">
      <c r="A85" s="2" t="n"/>
      <c r="B85" s="227" t="n"/>
      <c r="C85" s="1" t="n"/>
      <c r="D85" s="1" t="n"/>
      <c r="E85" s="1" t="n"/>
      <c r="F85" s="1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 s="165">
      <c r="A86" s="2" t="n"/>
      <c r="B86" s="227" t="n"/>
      <c r="C86" s="1" t="n"/>
      <c r="D86" s="1" t="n"/>
      <c r="E86" s="1" t="n"/>
      <c r="F86" s="1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 s="165">
      <c r="A87" s="2" t="n"/>
      <c r="B87" s="227" t="n"/>
      <c r="C87" s="1" t="n"/>
      <c r="D87" s="1" t="n"/>
      <c r="E87" s="1" t="n"/>
      <c r="F87" s="1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 s="165">
      <c r="A88" s="2" t="n"/>
      <c r="B88" s="227" t="n"/>
      <c r="C88" s="1" t="n"/>
      <c r="D88" s="1" t="n"/>
      <c r="E88" s="1" t="n"/>
      <c r="F88" s="1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 s="165">
      <c r="A89" s="2" t="n"/>
      <c r="B89" s="227" t="n"/>
      <c r="C89" s="1" t="n"/>
      <c r="D89" s="1" t="n"/>
      <c r="E89" s="1" t="n"/>
      <c r="F89" s="1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 s="165">
      <c r="A90" s="2" t="n"/>
      <c r="B90" s="227" t="n"/>
      <c r="C90" s="1" t="n"/>
      <c r="D90" s="1" t="n"/>
      <c r="E90" s="1" t="n"/>
      <c r="F90" s="1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 s="165">
      <c r="A91" s="2" t="n"/>
      <c r="B91" s="227" t="n"/>
      <c r="C91" s="1" t="n"/>
      <c r="D91" s="1" t="n"/>
      <c r="E91" s="1" t="n"/>
      <c r="F91" s="1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 s="165">
      <c r="A92" s="2" t="n"/>
      <c r="B92" s="227" t="n"/>
      <c r="C92" s="1" t="n"/>
      <c r="D92" s="1" t="n"/>
      <c r="E92" s="1" t="n"/>
      <c r="F92" s="1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 s="165">
      <c r="A93" s="2" t="n"/>
      <c r="B93" s="227" t="n"/>
      <c r="C93" s="1" t="n"/>
      <c r="D93" s="1" t="n"/>
      <c r="E93" s="1" t="n"/>
      <c r="F93" s="1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 s="165">
      <c r="A94" s="2" t="n"/>
      <c r="B94" s="227" t="n"/>
      <c r="C94" s="1" t="n"/>
      <c r="D94" s="1" t="n"/>
      <c r="E94" s="1" t="n"/>
      <c r="F94" s="1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 s="165">
      <c r="A95" s="2" t="n"/>
      <c r="B95" s="227" t="n"/>
      <c r="C95" s="1" t="n"/>
      <c r="D95" s="1" t="n"/>
      <c r="E95" s="1" t="n"/>
      <c r="F95" s="1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 s="165">
      <c r="A96" s="2" t="n"/>
      <c r="B96" s="227" t="n"/>
      <c r="C96" s="1" t="n"/>
      <c r="D96" s="1" t="n"/>
      <c r="E96" s="1" t="n"/>
      <c r="F96" s="1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 s="165">
      <c r="A97" s="2" t="n"/>
      <c r="B97" s="227" t="n"/>
      <c r="C97" s="1" t="n"/>
      <c r="D97" s="1" t="n"/>
      <c r="E97" s="1" t="n"/>
      <c r="F97" s="1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 s="165">
      <c r="A98" s="2" t="n"/>
      <c r="B98" s="227" t="n"/>
      <c r="C98" s="1" t="n"/>
      <c r="D98" s="1" t="n"/>
      <c r="E98" s="1" t="n"/>
      <c r="F98" s="1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 s="165">
      <c r="A99" s="2" t="n"/>
      <c r="B99" s="227" t="n"/>
      <c r="C99" s="1" t="n"/>
      <c r="D99" s="1" t="n"/>
      <c r="E99" s="1" t="n"/>
      <c r="F99" s="1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 s="165">
      <c r="A100" s="2" t="n"/>
      <c r="B100" s="227" t="n"/>
      <c r="C100" s="1" t="n"/>
      <c r="D100" s="1" t="n"/>
      <c r="E100" s="1" t="n"/>
      <c r="F100" s="1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 s="165">
      <c r="A101" s="2" t="n"/>
      <c r="B101" s="227" t="n"/>
      <c r="C101" s="1" t="n"/>
      <c r="D101" s="1" t="n"/>
      <c r="E101" s="1" t="n"/>
      <c r="F101" s="1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 s="165">
      <c r="A102" s="2" t="n"/>
      <c r="B102" s="227" t="n"/>
      <c r="C102" s="1" t="n"/>
      <c r="D102" s="1" t="n"/>
      <c r="E102" s="1" t="n"/>
      <c r="F102" s="1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 s="165">
      <c r="A103" s="2" t="n"/>
      <c r="B103" s="227" t="n"/>
      <c r="C103" s="1" t="n"/>
      <c r="D103" s="1" t="n"/>
      <c r="E103" s="1" t="n"/>
      <c r="F103" s="1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 s="165">
      <c r="A104" s="2" t="n"/>
      <c r="B104" s="227" t="n"/>
      <c r="C104" s="1" t="n"/>
      <c r="D104" s="1" t="n"/>
      <c r="E104" s="1" t="n"/>
      <c r="F104" s="1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 s="165">
      <c r="A105" s="2" t="n"/>
      <c r="B105" s="227" t="n"/>
      <c r="C105" s="1" t="n"/>
      <c r="D105" s="1" t="n"/>
      <c r="E105" s="1" t="n"/>
      <c r="F105" s="1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 s="165">
      <c r="A106" s="2" t="n"/>
      <c r="B106" s="227" t="n"/>
      <c r="C106" s="1" t="n"/>
      <c r="D106" s="1" t="n"/>
      <c r="E106" s="1" t="n"/>
      <c r="F106" s="1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 s="165">
      <c r="A107" s="2" t="n"/>
      <c r="B107" s="227" t="n"/>
      <c r="C107" s="1" t="n"/>
      <c r="D107" s="1" t="n"/>
      <c r="E107" s="1" t="n"/>
      <c r="F107" s="1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 s="165">
      <c r="A108" s="2" t="n"/>
      <c r="B108" s="227" t="n"/>
      <c r="C108" s="1" t="n"/>
      <c r="D108" s="1" t="n"/>
      <c r="E108" s="1" t="n"/>
      <c r="F108" s="1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 s="165">
      <c r="A109" s="2" t="n"/>
      <c r="B109" s="227" t="n"/>
      <c r="C109" s="1" t="n"/>
      <c r="D109" s="1" t="n"/>
      <c r="E109" s="1" t="n"/>
      <c r="F109" s="1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 s="165">
      <c r="A110" s="2" t="n"/>
      <c r="B110" s="227" t="n"/>
      <c r="C110" s="1" t="n"/>
      <c r="D110" s="1" t="n"/>
      <c r="E110" s="1" t="n"/>
      <c r="F110" s="1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 s="165">
      <c r="A111" s="2" t="n"/>
      <c r="B111" s="227" t="n"/>
      <c r="C111" s="1" t="n"/>
      <c r="D111" s="1" t="n"/>
      <c r="E111" s="1" t="n"/>
      <c r="F111" s="1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 s="165">
      <c r="A112" s="2" t="n"/>
      <c r="B112" s="227" t="n"/>
      <c r="C112" s="1" t="n"/>
      <c r="D112" s="1" t="n"/>
      <c r="E112" s="1" t="n"/>
      <c r="F112" s="1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 s="165">
      <c r="A113" s="2" t="n"/>
      <c r="B113" s="227" t="n"/>
      <c r="C113" s="1" t="n"/>
      <c r="D113" s="1" t="n"/>
      <c r="E113" s="1" t="n"/>
      <c r="F113" s="1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 s="165">
      <c r="A114" s="2" t="n"/>
      <c r="B114" s="227" t="n"/>
      <c r="C114" s="1" t="n"/>
      <c r="D114" s="1" t="n"/>
      <c r="E114" s="1" t="n"/>
      <c r="F114" s="1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 s="165">
      <c r="A115" s="2" t="n"/>
      <c r="B115" s="227" t="n"/>
      <c r="C115" s="1" t="n"/>
      <c r="D115" s="1" t="n"/>
      <c r="E115" s="1" t="n"/>
      <c r="F115" s="1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 s="165">
      <c r="A116" s="2" t="n"/>
      <c r="B116" s="227" t="n"/>
      <c r="C116" s="1" t="n"/>
      <c r="D116" s="1" t="n"/>
      <c r="E116" s="1" t="n"/>
      <c r="F116" s="1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 s="165">
      <c r="A117" s="2" t="n"/>
      <c r="B117" s="227" t="n"/>
      <c r="C117" s="1" t="n"/>
      <c r="D117" s="1" t="n"/>
      <c r="E117" s="1" t="n"/>
      <c r="F117" s="1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 s="165">
      <c r="A118" s="2" t="n"/>
      <c r="B118" s="227" t="n"/>
      <c r="C118" s="1" t="n"/>
      <c r="D118" s="1" t="n"/>
      <c r="E118" s="1" t="n"/>
      <c r="F118" s="1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 s="165">
      <c r="A119" s="2" t="n"/>
      <c r="B119" s="227" t="n"/>
      <c r="C119" s="1" t="n"/>
      <c r="D119" s="1" t="n"/>
      <c r="E119" s="1" t="n"/>
      <c r="F119" s="1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 s="165">
      <c r="A120" s="2" t="n"/>
      <c r="B120" s="227" t="n"/>
      <c r="C120" s="1" t="n"/>
      <c r="D120" s="1" t="n"/>
      <c r="E120" s="1" t="n"/>
      <c r="F120" s="1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 s="165">
      <c r="A121" s="2" t="n"/>
      <c r="B121" s="227" t="n"/>
      <c r="C121" s="1" t="n"/>
      <c r="D121" s="1" t="n"/>
      <c r="E121" s="1" t="n"/>
      <c r="F121" s="1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 s="165">
      <c r="A122" s="2" t="n"/>
      <c r="B122" s="227" t="n"/>
      <c r="C122" s="1" t="n"/>
      <c r="D122" s="1" t="n"/>
      <c r="E122" s="1" t="n"/>
      <c r="F122" s="1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 s="165">
      <c r="A123" s="2" t="n"/>
      <c r="B123" s="227" t="n"/>
      <c r="C123" s="1" t="n"/>
      <c r="D123" s="1" t="n"/>
      <c r="E123" s="1" t="n"/>
      <c r="F123" s="1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 s="165">
      <c r="A124" s="2" t="n"/>
      <c r="B124" s="227" t="n"/>
      <c r="C124" s="1" t="n"/>
      <c r="D124" s="1" t="n"/>
      <c r="E124" s="1" t="n"/>
      <c r="F124" s="1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 s="165">
      <c r="A125" s="2" t="n"/>
      <c r="B125" s="227" t="n"/>
      <c r="C125" s="1" t="n"/>
      <c r="D125" s="1" t="n"/>
      <c r="E125" s="1" t="n"/>
      <c r="F125" s="1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 s="165">
      <c r="A126" s="2" t="n"/>
      <c r="B126" s="227" t="n"/>
      <c r="C126" s="1" t="n"/>
      <c r="D126" s="1" t="n"/>
      <c r="E126" s="1" t="n"/>
      <c r="F126" s="1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 s="165">
      <c r="A127" s="2" t="n"/>
      <c r="B127" s="227" t="n"/>
      <c r="C127" s="1" t="n"/>
      <c r="D127" s="1" t="n"/>
      <c r="E127" s="1" t="n"/>
      <c r="F127" s="1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 s="165">
      <c r="A128" s="2" t="n"/>
      <c r="B128" s="227" t="n"/>
      <c r="C128" s="1" t="n"/>
      <c r="D128" s="1" t="n"/>
      <c r="E128" s="1" t="n"/>
      <c r="F128" s="1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 s="165">
      <c r="A129" s="2" t="n"/>
      <c r="B129" s="227" t="n"/>
      <c r="C129" s="1" t="n"/>
      <c r="D129" s="1" t="n"/>
      <c r="E129" s="1" t="n"/>
      <c r="F129" s="1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 s="165">
      <c r="A130" s="2" t="n"/>
      <c r="B130" s="227" t="n"/>
      <c r="C130" s="1" t="n"/>
      <c r="D130" s="1" t="n"/>
      <c r="E130" s="1" t="n"/>
      <c r="F130" s="1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 s="165">
      <c r="A131" s="2" t="n"/>
      <c r="B131" s="227" t="n"/>
      <c r="C131" s="1" t="n"/>
      <c r="D131" s="1" t="n"/>
      <c r="E131" s="1" t="n"/>
      <c r="F131" s="1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 s="165">
      <c r="A132" s="2" t="n"/>
      <c r="B132" s="227" t="n"/>
      <c r="C132" s="1" t="n"/>
      <c r="D132" s="1" t="n"/>
      <c r="E132" s="1" t="n"/>
      <c r="F132" s="1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 s="165">
      <c r="A133" s="2" t="n"/>
      <c r="B133" s="227" t="n"/>
      <c r="C133" s="1" t="n"/>
      <c r="D133" s="1" t="n"/>
      <c r="E133" s="1" t="n"/>
      <c r="F133" s="1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 s="165">
      <c r="A134" s="2" t="n"/>
      <c r="B134" s="227" t="n"/>
      <c r="C134" s="1" t="n"/>
      <c r="D134" s="1" t="n"/>
      <c r="E134" s="1" t="n"/>
      <c r="F134" s="1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 s="165">
      <c r="A135" s="2" t="n"/>
      <c r="B135" s="227" t="n"/>
      <c r="C135" s="1" t="n"/>
      <c r="D135" s="1" t="n"/>
      <c r="E135" s="1" t="n"/>
      <c r="F135" s="1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 s="165">
      <c r="A136" s="2" t="n"/>
      <c r="B136" s="227" t="n"/>
      <c r="C136" s="1" t="n"/>
      <c r="D136" s="1" t="n"/>
      <c r="E136" s="1" t="n"/>
      <c r="F136" s="1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 s="165">
      <c r="A137" s="2" t="n"/>
      <c r="B137" s="227" t="n"/>
      <c r="C137" s="1" t="n"/>
      <c r="D137" s="1" t="n"/>
      <c r="E137" s="1" t="n"/>
      <c r="F137" s="1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 s="165">
      <c r="A138" s="2" t="n"/>
      <c r="B138" s="227" t="n"/>
      <c r="C138" s="1" t="n"/>
      <c r="D138" s="1" t="n"/>
      <c r="E138" s="1" t="n"/>
      <c r="F138" s="1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 s="165">
      <c r="A139" s="2" t="n"/>
      <c r="B139" s="227" t="n"/>
      <c r="C139" s="1" t="n"/>
      <c r="D139" s="1" t="n"/>
      <c r="E139" s="1" t="n"/>
      <c r="F139" s="1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 s="165">
      <c r="A140" s="2" t="n"/>
      <c r="B140" s="227" t="n"/>
      <c r="C140" s="1" t="n"/>
      <c r="D140" s="1" t="n"/>
      <c r="E140" s="1" t="n"/>
      <c r="F140" s="1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 s="165">
      <c r="A141" s="2" t="n"/>
      <c r="B141" s="227" t="n"/>
      <c r="C141" s="1" t="n"/>
      <c r="D141" s="1" t="n"/>
      <c r="E141" s="1" t="n"/>
      <c r="F141" s="1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 s="165">
      <c r="A142" s="2" t="n"/>
      <c r="B142" s="227" t="n"/>
      <c r="C142" s="1" t="n"/>
      <c r="D142" s="1" t="n"/>
      <c r="E142" s="1" t="n"/>
      <c r="F142" s="1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 s="165">
      <c r="A143" s="2" t="n"/>
      <c r="B143" s="227" t="n"/>
      <c r="C143" s="1" t="n"/>
      <c r="D143" s="1" t="n"/>
      <c r="E143" s="1" t="n"/>
      <c r="F143" s="1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 s="165">
      <c r="A144" s="2" t="n"/>
      <c r="B144" s="227" t="n"/>
      <c r="C144" s="1" t="n"/>
      <c r="D144" s="1" t="n"/>
      <c r="E144" s="1" t="n"/>
      <c r="F144" s="1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 s="165">
      <c r="A145" s="2" t="n"/>
      <c r="B145" s="227" t="n"/>
      <c r="C145" s="1" t="n"/>
      <c r="D145" s="1" t="n"/>
      <c r="E145" s="1" t="n"/>
      <c r="F145" s="1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 s="165">
      <c r="A146" s="2" t="n"/>
      <c r="B146" s="227" t="n"/>
      <c r="C146" s="1" t="n"/>
      <c r="D146" s="1" t="n"/>
      <c r="E146" s="1" t="n"/>
      <c r="F146" s="1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 s="165">
      <c r="A147" s="2" t="n"/>
      <c r="B147" s="227" t="n"/>
      <c r="C147" s="1" t="n"/>
      <c r="D147" s="1" t="n"/>
      <c r="E147" s="1" t="n"/>
      <c r="F147" s="1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 s="165">
      <c r="A148" s="2" t="n"/>
      <c r="B148" s="227" t="n"/>
      <c r="C148" s="1" t="n"/>
      <c r="D148" s="1" t="n"/>
      <c r="E148" s="1" t="n"/>
      <c r="F148" s="1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 s="165">
      <c r="A149" s="2" t="n"/>
      <c r="B149" s="227" t="n"/>
      <c r="C149" s="1" t="n"/>
      <c r="D149" s="1" t="n"/>
      <c r="E149" s="1" t="n"/>
      <c r="F149" s="1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 s="165">
      <c r="A150" s="2" t="n"/>
      <c r="B150" s="227" t="n"/>
      <c r="C150" s="1" t="n"/>
      <c r="D150" s="1" t="n"/>
      <c r="E150" s="1" t="n"/>
      <c r="F150" s="1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 s="165">
      <c r="A151" s="2" t="n"/>
      <c r="B151" s="227" t="n"/>
      <c r="C151" s="1" t="n"/>
      <c r="D151" s="1" t="n"/>
      <c r="E151" s="1" t="n"/>
      <c r="F151" s="1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 s="165">
      <c r="A152" s="2" t="n"/>
      <c r="B152" s="227" t="n"/>
      <c r="C152" s="1" t="n"/>
      <c r="D152" s="1" t="n"/>
      <c r="E152" s="1" t="n"/>
      <c r="F152" s="1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 s="165">
      <c r="A153" s="2" t="n"/>
      <c r="B153" s="227" t="n"/>
      <c r="C153" s="1" t="n"/>
      <c r="D153" s="1" t="n"/>
      <c r="E153" s="1" t="n"/>
      <c r="F153" s="1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 s="165">
      <c r="A154" s="2" t="n"/>
      <c r="B154" s="227" t="n"/>
      <c r="C154" s="1" t="n"/>
      <c r="D154" s="1" t="n"/>
      <c r="E154" s="1" t="n"/>
      <c r="F154" s="1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 s="165">
      <c r="A155" s="2" t="n"/>
      <c r="B155" s="227" t="n"/>
      <c r="C155" s="1" t="n"/>
      <c r="D155" s="1" t="n"/>
      <c r="E155" s="1" t="n"/>
      <c r="F155" s="1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 s="165">
      <c r="A156" s="2" t="n"/>
      <c r="B156" s="227" t="n"/>
      <c r="C156" s="1" t="n"/>
      <c r="D156" s="1" t="n"/>
      <c r="E156" s="1" t="n"/>
      <c r="F156" s="1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 s="165">
      <c r="A157" s="2" t="n"/>
      <c r="B157" s="227" t="n"/>
      <c r="C157" s="1" t="n"/>
      <c r="D157" s="1" t="n"/>
      <c r="E157" s="1" t="n"/>
      <c r="F157" s="1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 s="165">
      <c r="A158" s="2" t="n"/>
      <c r="B158" s="227" t="n"/>
      <c r="C158" s="1" t="n"/>
      <c r="D158" s="1" t="n"/>
      <c r="E158" s="1" t="n"/>
      <c r="F158" s="1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 s="165">
      <c r="A159" s="2" t="n"/>
      <c r="B159" s="227" t="n"/>
      <c r="C159" s="1" t="n"/>
      <c r="D159" s="1" t="n"/>
      <c r="E159" s="1" t="n"/>
      <c r="F159" s="1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 s="165">
      <c r="A160" s="2" t="n"/>
      <c r="B160" s="227" t="n"/>
      <c r="C160" s="1" t="n"/>
      <c r="D160" s="1" t="n"/>
      <c r="E160" s="1" t="n"/>
      <c r="F160" s="1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 s="165">
      <c r="A161" s="2" t="n"/>
      <c r="B161" s="227" t="n"/>
      <c r="C161" s="1" t="n"/>
      <c r="D161" s="1" t="n"/>
      <c r="E161" s="1" t="n"/>
      <c r="F161" s="1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 s="165">
      <c r="A162" s="2" t="n"/>
      <c r="B162" s="227" t="n"/>
      <c r="C162" s="1" t="n"/>
      <c r="D162" s="1" t="n"/>
      <c r="E162" s="1" t="n"/>
      <c r="F162" s="1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 s="165">
      <c r="A163" s="2" t="n"/>
      <c r="B163" s="227" t="n"/>
      <c r="C163" s="1" t="n"/>
      <c r="D163" s="1" t="n"/>
      <c r="E163" s="1" t="n"/>
      <c r="F163" s="1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 s="165">
      <c r="A164" s="2" t="n"/>
      <c r="B164" s="227" t="n"/>
      <c r="C164" s="1" t="n"/>
      <c r="D164" s="1" t="n"/>
      <c r="E164" s="1" t="n"/>
      <c r="F164" s="1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 s="165">
      <c r="A165" s="2" t="n"/>
      <c r="B165" s="227" t="n"/>
      <c r="C165" s="1" t="n"/>
      <c r="D165" s="1" t="n"/>
      <c r="E165" s="1" t="n"/>
      <c r="F165" s="1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 s="165">
      <c r="A166" s="2" t="n"/>
      <c r="B166" s="227" t="n"/>
      <c r="C166" s="1" t="n"/>
      <c r="D166" s="1" t="n"/>
      <c r="E166" s="1" t="n"/>
      <c r="F166" s="1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 s="165">
      <c r="A167" s="2" t="n"/>
      <c r="B167" s="227" t="n"/>
      <c r="C167" s="1" t="n"/>
      <c r="D167" s="1" t="n"/>
      <c r="E167" s="1" t="n"/>
      <c r="F167" s="1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 s="165">
      <c r="A168" s="2" t="n"/>
      <c r="B168" s="227" t="n"/>
      <c r="C168" s="1" t="n"/>
      <c r="D168" s="1" t="n"/>
      <c r="E168" s="1" t="n"/>
      <c r="F168" s="1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 s="165">
      <c r="A169" s="2" t="n"/>
      <c r="B169" s="227" t="n"/>
      <c r="C169" s="1" t="n"/>
      <c r="D169" s="1" t="n"/>
      <c r="E169" s="1" t="n"/>
      <c r="F169" s="1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 s="165">
      <c r="A170" s="2" t="n"/>
      <c r="B170" s="227" t="n"/>
      <c r="C170" s="1" t="n"/>
      <c r="D170" s="1" t="n"/>
      <c r="E170" s="1" t="n"/>
      <c r="F170" s="1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 s="165">
      <c r="A171" s="2" t="n"/>
      <c r="B171" s="227" t="n"/>
      <c r="C171" s="1" t="n"/>
      <c r="D171" s="1" t="n"/>
      <c r="E171" s="1" t="n"/>
      <c r="F171" s="1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 s="165">
      <c r="A172" s="2" t="n"/>
      <c r="B172" s="227" t="n"/>
      <c r="C172" s="1" t="n"/>
      <c r="D172" s="1" t="n"/>
      <c r="E172" s="1" t="n"/>
      <c r="F172" s="1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 s="165">
      <c r="A173" s="2" t="n"/>
      <c r="B173" s="227" t="n"/>
      <c r="C173" s="1" t="n"/>
      <c r="D173" s="1" t="n"/>
      <c r="E173" s="1" t="n"/>
      <c r="F173" s="1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 s="165">
      <c r="A174" s="2" t="n"/>
      <c r="B174" s="227" t="n"/>
      <c r="C174" s="1" t="n"/>
      <c r="D174" s="1" t="n"/>
      <c r="E174" s="1" t="n"/>
      <c r="F174" s="1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 s="165">
      <c r="A175" s="2" t="n"/>
      <c r="B175" s="227" t="n"/>
      <c r="C175" s="1" t="n"/>
      <c r="D175" s="1" t="n"/>
      <c r="E175" s="1" t="n"/>
      <c r="F175" s="1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 s="165">
      <c r="A176" s="2" t="n"/>
      <c r="B176" s="227" t="n"/>
      <c r="C176" s="1" t="n"/>
      <c r="D176" s="1" t="n"/>
      <c r="E176" s="1" t="n"/>
      <c r="F176" s="1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 s="165">
      <c r="A177" s="2" t="n"/>
      <c r="B177" s="227" t="n"/>
      <c r="C177" s="1" t="n"/>
      <c r="D177" s="1" t="n"/>
      <c r="E177" s="1" t="n"/>
      <c r="F177" s="1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 s="165">
      <c r="A178" s="2" t="n"/>
      <c r="B178" s="227" t="n"/>
      <c r="C178" s="1" t="n"/>
      <c r="D178" s="1" t="n"/>
      <c r="E178" s="1" t="n"/>
      <c r="F178" s="1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 s="165">
      <c r="A179" s="2" t="n"/>
      <c r="B179" s="227" t="n"/>
      <c r="C179" s="1" t="n"/>
      <c r="D179" s="1" t="n"/>
      <c r="E179" s="1" t="n"/>
      <c r="F179" s="1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 s="165">
      <c r="A180" s="2" t="n"/>
      <c r="B180" s="227" t="n"/>
      <c r="C180" s="1" t="n"/>
      <c r="D180" s="1" t="n"/>
      <c r="E180" s="1" t="n"/>
      <c r="F180" s="1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 s="165">
      <c r="A181" s="2" t="n"/>
      <c r="B181" s="227" t="n"/>
      <c r="C181" s="1" t="n"/>
      <c r="D181" s="1" t="n"/>
      <c r="E181" s="1" t="n"/>
      <c r="F181" s="1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 s="165">
      <c r="A182" s="2" t="n"/>
      <c r="B182" s="227" t="n"/>
      <c r="C182" s="1" t="n"/>
      <c r="D182" s="1" t="n"/>
      <c r="E182" s="1" t="n"/>
      <c r="F182" s="1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 s="165">
      <c r="A183" s="2" t="n"/>
      <c r="B183" s="227" t="n"/>
      <c r="C183" s="1" t="n"/>
      <c r="D183" s="1" t="n"/>
      <c r="E183" s="1" t="n"/>
      <c r="F183" s="1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 s="165">
      <c r="A184" s="2" t="n"/>
      <c r="B184" s="227" t="n"/>
      <c r="C184" s="1" t="n"/>
      <c r="D184" s="1" t="n"/>
      <c r="E184" s="1" t="n"/>
      <c r="F184" s="1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 s="165">
      <c r="A185" s="2" t="n"/>
      <c r="B185" s="227" t="n"/>
      <c r="C185" s="1" t="n"/>
      <c r="D185" s="1" t="n"/>
      <c r="E185" s="1" t="n"/>
      <c r="F185" s="1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 s="165">
      <c r="A186" s="2" t="n"/>
      <c r="B186" s="227" t="n"/>
      <c r="C186" s="1" t="n"/>
      <c r="D186" s="1" t="n"/>
      <c r="E186" s="1" t="n"/>
      <c r="F186" s="1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 s="165">
      <c r="A187" s="2" t="n"/>
      <c r="B187" s="227" t="n"/>
      <c r="C187" s="1" t="n"/>
      <c r="D187" s="1" t="n"/>
      <c r="E187" s="1" t="n"/>
      <c r="F187" s="1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 s="165">
      <c r="A188" s="2" t="n"/>
      <c r="B188" s="227" t="n"/>
      <c r="C188" s="1" t="n"/>
      <c r="D188" s="1" t="n"/>
      <c r="E188" s="1" t="n"/>
      <c r="F188" s="1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 s="165">
      <c r="A189" s="2" t="n"/>
      <c r="B189" s="227" t="n"/>
      <c r="C189" s="1" t="n"/>
      <c r="D189" s="1" t="n"/>
      <c r="E189" s="1" t="n"/>
      <c r="F189" s="1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 s="165">
      <c r="A190" s="2" t="n"/>
      <c r="B190" s="227" t="n"/>
      <c r="C190" s="1" t="n"/>
      <c r="D190" s="1" t="n"/>
      <c r="E190" s="1" t="n"/>
      <c r="F190" s="1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 s="165">
      <c r="A191" s="2" t="n"/>
      <c r="B191" s="227" t="n"/>
      <c r="C191" s="1" t="n"/>
      <c r="D191" s="1" t="n"/>
      <c r="E191" s="1" t="n"/>
      <c r="F191" s="1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 s="165">
      <c r="A192" s="2" t="n"/>
      <c r="B192" s="227" t="n"/>
      <c r="C192" s="1" t="n"/>
      <c r="D192" s="1" t="n"/>
      <c r="E192" s="1" t="n"/>
      <c r="F192" s="1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 s="165">
      <c r="A193" s="2" t="n"/>
      <c r="B193" s="227" t="n"/>
      <c r="C193" s="1" t="n"/>
      <c r="D193" s="1" t="n"/>
      <c r="E193" s="1" t="n"/>
      <c r="F193" s="1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 s="165">
      <c r="A194" s="2" t="n"/>
      <c r="B194" s="227" t="n"/>
      <c r="C194" s="1" t="n"/>
      <c r="D194" s="1" t="n"/>
      <c r="E194" s="1" t="n"/>
      <c r="F194" s="1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 s="165">
      <c r="A195" s="2" t="n"/>
      <c r="B195" s="227" t="n"/>
      <c r="C195" s="1" t="n"/>
      <c r="D195" s="1" t="n"/>
      <c r="E195" s="1" t="n"/>
      <c r="F195" s="1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 s="165">
      <c r="A196" s="2" t="n"/>
      <c r="B196" s="227" t="n"/>
      <c r="C196" s="1" t="n"/>
      <c r="D196" s="1" t="n"/>
      <c r="E196" s="1" t="n"/>
      <c r="F196" s="1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 s="165">
      <c r="A197" s="2" t="n"/>
      <c r="B197" s="227" t="n"/>
      <c r="C197" s="1" t="n"/>
      <c r="D197" s="1" t="n"/>
      <c r="E197" s="1" t="n"/>
      <c r="F197" s="1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 s="165">
      <c r="A198" s="2" t="n"/>
      <c r="B198" s="227" t="n"/>
      <c r="C198" s="1" t="n"/>
      <c r="D198" s="1" t="n"/>
      <c r="E198" s="1" t="n"/>
      <c r="F198" s="1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 s="165">
      <c r="A199" s="2" t="n"/>
      <c r="B199" s="227" t="n"/>
      <c r="C199" s="1" t="n"/>
      <c r="D199" s="1" t="n"/>
      <c r="E199" s="1" t="n"/>
      <c r="F199" s="1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 s="165">
      <c r="A200" s="2" t="n"/>
      <c r="B200" s="227" t="n"/>
      <c r="C200" s="1" t="n"/>
      <c r="D200" s="1" t="n"/>
      <c r="E200" s="1" t="n"/>
      <c r="F200" s="1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 s="165">
      <c r="A201" s="2" t="n"/>
      <c r="B201" s="227" t="n"/>
      <c r="C201" s="1" t="n"/>
      <c r="D201" s="1" t="n"/>
      <c r="E201" s="1" t="n"/>
      <c r="F201" s="1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 s="165">
      <c r="A202" s="2" t="n"/>
      <c r="B202" s="227" t="n"/>
      <c r="C202" s="1" t="n"/>
      <c r="D202" s="1" t="n"/>
      <c r="E202" s="1" t="n"/>
      <c r="F202" s="1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 s="165">
      <c r="A203" s="2" t="n"/>
      <c r="B203" s="227" t="n"/>
      <c r="C203" s="1" t="n"/>
      <c r="D203" s="1" t="n"/>
      <c r="E203" s="1" t="n"/>
      <c r="F203" s="1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 s="165">
      <c r="A204" s="2" t="n"/>
      <c r="B204" s="227" t="n"/>
      <c r="C204" s="1" t="n"/>
      <c r="D204" s="1" t="n"/>
      <c r="E204" s="1" t="n"/>
      <c r="F204" s="1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 s="165">
      <c r="A205" s="2" t="n"/>
      <c r="B205" s="227" t="n"/>
      <c r="C205" s="1" t="n"/>
      <c r="D205" s="1" t="n"/>
      <c r="E205" s="1" t="n"/>
      <c r="F205" s="1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 s="165">
      <c r="A206" s="2" t="n"/>
      <c r="B206" s="227" t="n"/>
      <c r="C206" s="1" t="n"/>
      <c r="D206" s="1" t="n"/>
      <c r="E206" s="1" t="n"/>
      <c r="F206" s="1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 s="165">
      <c r="A207" s="2" t="n"/>
      <c r="B207" s="227" t="n"/>
      <c r="C207" s="1" t="n"/>
      <c r="D207" s="1" t="n"/>
      <c r="E207" s="1" t="n"/>
      <c r="F207" s="1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 s="165">
      <c r="A208" s="2" t="n"/>
      <c r="B208" s="227" t="n"/>
      <c r="C208" s="1" t="n"/>
      <c r="D208" s="1" t="n"/>
      <c r="E208" s="1" t="n"/>
      <c r="F208" s="1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 s="165">
      <c r="A209" s="2" t="n"/>
      <c r="B209" s="227" t="n"/>
      <c r="C209" s="1" t="n"/>
      <c r="D209" s="1" t="n"/>
      <c r="E209" s="1" t="n"/>
      <c r="F209" s="1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 s="165">
      <c r="A210" s="2" t="n"/>
      <c r="B210" s="227" t="n"/>
      <c r="C210" s="1" t="n"/>
      <c r="D210" s="1" t="n"/>
      <c r="E210" s="1" t="n"/>
      <c r="F210" s="1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 s="165">
      <c r="A211" s="2" t="n"/>
      <c r="B211" s="227" t="n"/>
      <c r="C211" s="1" t="n"/>
      <c r="D211" s="1" t="n"/>
      <c r="E211" s="1" t="n"/>
      <c r="F211" s="1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 s="165">
      <c r="A212" s="2" t="n"/>
      <c r="B212" s="227" t="n"/>
      <c r="C212" s="1" t="n"/>
      <c r="D212" s="1" t="n"/>
      <c r="E212" s="1" t="n"/>
      <c r="F212" s="1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 s="165">
      <c r="A213" s="2" t="n"/>
      <c r="B213" s="227" t="n"/>
      <c r="C213" s="1" t="n"/>
      <c r="D213" s="1" t="n"/>
      <c r="E213" s="1" t="n"/>
      <c r="F213" s="1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 s="165">
      <c r="A214" s="2" t="n"/>
      <c r="B214" s="227" t="n"/>
      <c r="C214" s="1" t="n"/>
      <c r="D214" s="1" t="n"/>
      <c r="E214" s="1" t="n"/>
      <c r="F214" s="1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 s="165">
      <c r="A215" s="2" t="n"/>
      <c r="B215" s="227" t="n"/>
      <c r="C215" s="1" t="n"/>
      <c r="D215" s="1" t="n"/>
      <c r="E215" s="1" t="n"/>
      <c r="F215" s="1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 s="165">
      <c r="A216" s="2" t="n"/>
      <c r="B216" s="227" t="n"/>
      <c r="C216" s="1" t="n"/>
      <c r="D216" s="1" t="n"/>
      <c r="E216" s="1" t="n"/>
      <c r="F216" s="1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 s="165">
      <c r="A217" s="2" t="n"/>
      <c r="B217" s="227" t="n"/>
      <c r="C217" s="1" t="n"/>
      <c r="D217" s="1" t="n"/>
      <c r="E217" s="1" t="n"/>
      <c r="F217" s="1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 s="165">
      <c r="A218" s="2" t="n"/>
      <c r="B218" s="227" t="n"/>
      <c r="C218" s="1" t="n"/>
      <c r="D218" s="1" t="n"/>
      <c r="E218" s="1" t="n"/>
      <c r="F218" s="1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 s="165">
      <c r="A219" s="2" t="n"/>
      <c r="B219" s="227" t="n"/>
      <c r="C219" s="1" t="n"/>
      <c r="D219" s="1" t="n"/>
      <c r="E219" s="1" t="n"/>
      <c r="F219" s="1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65"/>
    <row r="221" ht="15.75" customHeight="1" s="165"/>
    <row r="222" ht="15.75" customHeight="1" s="165"/>
    <row r="223" ht="15.75" customHeight="1" s="165"/>
    <row r="224" ht="15.75" customHeight="1" s="165"/>
    <row r="225" ht="15.75" customHeight="1" s="165"/>
    <row r="226" ht="15.75" customHeight="1" s="165"/>
    <row r="227" ht="15.75" customHeight="1" s="165"/>
    <row r="228" ht="15.75" customHeight="1" s="165"/>
    <row r="229" ht="15.75" customHeight="1" s="165"/>
    <row r="230" ht="15.75" customHeight="1" s="165"/>
    <row r="231" ht="15.75" customHeight="1" s="165"/>
    <row r="232" ht="15.75" customHeight="1" s="165"/>
    <row r="233" ht="15.75" customHeight="1" s="165"/>
    <row r="234" ht="15.75" customHeight="1" s="165"/>
    <row r="235" ht="15.75" customHeight="1" s="165"/>
    <row r="236" ht="15.75" customHeight="1" s="165"/>
    <row r="237" ht="15.75" customHeight="1" s="165"/>
    <row r="238" ht="15.75" customHeight="1" s="165"/>
    <row r="239" ht="15.75" customHeight="1" s="165"/>
    <row r="240" ht="15.75" customHeight="1" s="165"/>
    <row r="241" ht="15.75" customHeight="1" s="165"/>
    <row r="242" ht="15.75" customHeight="1" s="165"/>
    <row r="243" ht="15.75" customHeight="1" s="165"/>
    <row r="244" ht="15.75" customHeight="1" s="165"/>
    <row r="245" ht="15.75" customHeight="1" s="165"/>
    <row r="246" ht="15.75" customHeight="1" s="165"/>
    <row r="247" ht="15.75" customHeight="1" s="165"/>
    <row r="248" ht="15.75" customHeight="1" s="165"/>
    <row r="249" ht="15.75" customHeight="1" s="165"/>
    <row r="250" ht="15.75" customHeight="1" s="165"/>
    <row r="251" ht="15.75" customHeight="1" s="165"/>
    <row r="252" ht="15.75" customHeight="1" s="165"/>
    <row r="253" ht="15.75" customHeight="1" s="165"/>
    <row r="254" ht="15.75" customHeight="1" s="165"/>
    <row r="255" ht="15.75" customHeight="1" s="165"/>
    <row r="256" ht="15.75" customHeight="1" s="165"/>
    <row r="257" ht="15.75" customHeight="1" s="165"/>
    <row r="258" ht="15.75" customHeight="1" s="165"/>
    <row r="259" ht="15.75" customHeight="1" s="165"/>
    <row r="260" ht="15.75" customHeight="1" s="165"/>
    <row r="261" ht="15.75" customHeight="1" s="165"/>
    <row r="262" ht="15.75" customHeight="1" s="165"/>
    <row r="263" ht="15.75" customHeight="1" s="165"/>
    <row r="264" ht="15.75" customHeight="1" s="165"/>
    <row r="265" ht="15.75" customHeight="1" s="165"/>
    <row r="266" ht="15.75" customHeight="1" s="165"/>
    <row r="267" ht="15.75" customHeight="1" s="165"/>
    <row r="268" ht="15.75" customHeight="1" s="165"/>
    <row r="269" ht="15.75" customHeight="1" s="165"/>
    <row r="270" ht="15.75" customHeight="1" s="165"/>
    <row r="271" ht="15.75" customHeight="1" s="165"/>
    <row r="272" ht="15.75" customHeight="1" s="165"/>
    <row r="273" ht="15.75" customHeight="1" s="165"/>
    <row r="274" ht="15.75" customHeight="1" s="165"/>
    <row r="275" ht="15.75" customHeight="1" s="165"/>
    <row r="276" ht="15.75" customHeight="1" s="165"/>
    <row r="277" ht="15.75" customHeight="1" s="165"/>
    <row r="278" ht="15.75" customHeight="1" s="165"/>
    <row r="279" ht="15.75" customHeight="1" s="165"/>
    <row r="280" ht="15.75" customHeight="1" s="165"/>
    <row r="281" ht="15.75" customHeight="1" s="165"/>
    <row r="282" ht="15.75" customHeight="1" s="165"/>
    <row r="283" ht="15.75" customHeight="1" s="165"/>
    <row r="284" ht="15.75" customHeight="1" s="165"/>
    <row r="285" ht="15.75" customHeight="1" s="165"/>
    <row r="286" ht="15.75" customHeight="1" s="165"/>
    <row r="287" ht="15.75" customHeight="1" s="165"/>
    <row r="288" ht="15.75" customHeight="1" s="165"/>
    <row r="289" ht="15.75" customHeight="1" s="165"/>
    <row r="290" ht="15.75" customHeight="1" s="165"/>
    <row r="291" ht="15.75" customHeight="1" s="165"/>
    <row r="292" ht="15.75" customHeight="1" s="165"/>
    <row r="293" ht="15.75" customHeight="1" s="165"/>
    <row r="294" ht="15.75" customHeight="1" s="165"/>
    <row r="295" ht="15.75" customHeight="1" s="165"/>
    <row r="296" ht="15.75" customHeight="1" s="165"/>
    <row r="297" ht="15.75" customHeight="1" s="165"/>
    <row r="298" ht="15.75" customHeight="1" s="165"/>
    <row r="299" ht="15.75" customHeight="1" s="165"/>
    <row r="300" ht="15.75" customHeight="1" s="165"/>
    <row r="301" ht="15.75" customHeight="1" s="165"/>
    <row r="302" ht="15.75" customHeight="1" s="165"/>
    <row r="303" ht="15.75" customHeight="1" s="165"/>
    <row r="304" ht="15.75" customHeight="1" s="165"/>
    <row r="305" ht="15.75" customHeight="1" s="165"/>
    <row r="306" ht="15.75" customHeight="1" s="165"/>
    <row r="307" ht="15.75" customHeight="1" s="165"/>
    <row r="308" ht="15.75" customHeight="1" s="165"/>
    <row r="309" ht="15.75" customHeight="1" s="165"/>
    <row r="310" ht="15.75" customHeight="1" s="165"/>
    <row r="311" ht="15.75" customHeight="1" s="165"/>
    <row r="312" ht="15.75" customHeight="1" s="165"/>
    <row r="313" ht="15.75" customHeight="1" s="165"/>
    <row r="314" ht="15.75" customHeight="1" s="165"/>
    <row r="315" ht="15.75" customHeight="1" s="165"/>
    <row r="316" ht="15.75" customHeight="1" s="165"/>
    <row r="317" ht="15.75" customHeight="1" s="165"/>
    <row r="318" ht="15.75" customHeight="1" s="165"/>
    <row r="319" ht="15.75" customHeight="1" s="165"/>
    <row r="320" ht="15.75" customHeight="1" s="165"/>
    <row r="321" ht="15.75" customHeight="1" s="165"/>
    <row r="322" ht="15.75" customHeight="1" s="165"/>
    <row r="323" ht="15.75" customHeight="1" s="165"/>
    <row r="324" ht="15.75" customHeight="1" s="165"/>
    <row r="325" ht="15.75" customHeight="1" s="165"/>
    <row r="326" ht="15.75" customHeight="1" s="165"/>
    <row r="327" ht="15.75" customHeight="1" s="165"/>
    <row r="328" ht="15.75" customHeight="1" s="165"/>
    <row r="329" ht="15.75" customHeight="1" s="165"/>
    <row r="330" ht="15.75" customHeight="1" s="165"/>
    <row r="331" ht="15.75" customHeight="1" s="165"/>
    <row r="332" ht="15.75" customHeight="1" s="165"/>
    <row r="333" ht="15.75" customHeight="1" s="165"/>
    <row r="334" ht="15.75" customHeight="1" s="165"/>
    <row r="335" ht="15.75" customHeight="1" s="165"/>
    <row r="336" ht="15.75" customHeight="1" s="165"/>
    <row r="337" ht="15.75" customHeight="1" s="165"/>
    <row r="338" ht="15.75" customHeight="1" s="165"/>
    <row r="339" ht="15.75" customHeight="1" s="165"/>
    <row r="340" ht="15.75" customHeight="1" s="165"/>
    <row r="341" ht="15.75" customHeight="1" s="165"/>
    <row r="342" ht="15.75" customHeight="1" s="165"/>
    <row r="343" ht="15.75" customHeight="1" s="165"/>
    <row r="344" ht="15.75" customHeight="1" s="165"/>
    <row r="345" ht="15.75" customHeight="1" s="165"/>
    <row r="346" ht="15.75" customHeight="1" s="165"/>
    <row r="347" ht="15.75" customHeight="1" s="165"/>
    <row r="348" ht="15.75" customHeight="1" s="165"/>
    <row r="349" ht="15.75" customHeight="1" s="165"/>
    <row r="350" ht="15.75" customHeight="1" s="165"/>
    <row r="351" ht="15.75" customHeight="1" s="165"/>
    <row r="352" ht="15.75" customHeight="1" s="165"/>
    <row r="353" ht="15.75" customHeight="1" s="165"/>
    <row r="354" ht="15.75" customHeight="1" s="165"/>
    <row r="355" ht="15.75" customHeight="1" s="165"/>
    <row r="356" ht="15.75" customHeight="1" s="165"/>
    <row r="357" ht="15.75" customHeight="1" s="165"/>
    <row r="358" ht="15.75" customHeight="1" s="165"/>
    <row r="359" ht="15.75" customHeight="1" s="165"/>
    <row r="360" ht="15.75" customHeight="1" s="165"/>
    <row r="361" ht="15.75" customHeight="1" s="165"/>
    <row r="362" ht="15.75" customHeight="1" s="165"/>
    <row r="363" ht="15.75" customHeight="1" s="165"/>
    <row r="364" ht="15.75" customHeight="1" s="165"/>
    <row r="365" ht="15.75" customHeight="1" s="165"/>
    <row r="366" ht="15.75" customHeight="1" s="165"/>
    <row r="367" ht="15.75" customHeight="1" s="165"/>
    <row r="368" ht="15.75" customHeight="1" s="165"/>
    <row r="369" ht="15.75" customHeight="1" s="165"/>
    <row r="370" ht="15.75" customHeight="1" s="165"/>
    <row r="371" ht="15.75" customHeight="1" s="165"/>
    <row r="372" ht="15.75" customHeight="1" s="165"/>
    <row r="373" ht="15.75" customHeight="1" s="165"/>
    <row r="374" ht="15.75" customHeight="1" s="165"/>
    <row r="375" ht="15.75" customHeight="1" s="165"/>
    <row r="376" ht="15.75" customHeight="1" s="165"/>
    <row r="377" ht="15.75" customHeight="1" s="165"/>
    <row r="378" ht="15.75" customHeight="1" s="165"/>
    <row r="379" ht="15.75" customHeight="1" s="165"/>
    <row r="380" ht="15.75" customHeight="1" s="165"/>
    <row r="381" ht="15.75" customHeight="1" s="165"/>
    <row r="382" ht="15.75" customHeight="1" s="165"/>
    <row r="383" ht="15.75" customHeight="1" s="165"/>
    <row r="384" ht="15.75" customHeight="1" s="165"/>
    <row r="385" ht="15.75" customHeight="1" s="165"/>
    <row r="386" ht="15.75" customHeight="1" s="165"/>
    <row r="387" ht="15.75" customHeight="1" s="165"/>
    <row r="388" ht="15.75" customHeight="1" s="165"/>
    <row r="389" ht="15.75" customHeight="1" s="165"/>
    <row r="390" ht="15.75" customHeight="1" s="165"/>
    <row r="391" ht="15.75" customHeight="1" s="165"/>
    <row r="392" ht="15.75" customHeight="1" s="165"/>
    <row r="393" ht="15.75" customHeight="1" s="165"/>
    <row r="394" ht="15.75" customHeight="1" s="165"/>
    <row r="395" ht="15.75" customHeight="1" s="165"/>
    <row r="396" ht="15.75" customHeight="1" s="165"/>
    <row r="397" ht="15.75" customHeight="1" s="165"/>
    <row r="398" ht="15.75" customHeight="1" s="165"/>
    <row r="399" ht="15.75" customHeight="1" s="165"/>
    <row r="400" ht="15.75" customHeight="1" s="165"/>
    <row r="401" ht="15.75" customHeight="1" s="165"/>
    <row r="402" ht="15.75" customHeight="1" s="165"/>
    <row r="403" ht="15.75" customHeight="1" s="165"/>
    <row r="404" ht="15.75" customHeight="1" s="165"/>
    <row r="405" ht="15.75" customHeight="1" s="165"/>
    <row r="406" ht="15.75" customHeight="1" s="165"/>
    <row r="407" ht="15.75" customHeight="1" s="165"/>
    <row r="408" ht="15.75" customHeight="1" s="165"/>
    <row r="409" ht="15.75" customHeight="1" s="165"/>
    <row r="410" ht="15.75" customHeight="1" s="165"/>
    <row r="411" ht="15.75" customHeight="1" s="165"/>
    <row r="412" ht="15.75" customHeight="1" s="165"/>
    <row r="413" ht="15.75" customHeight="1" s="165"/>
    <row r="414" ht="15.75" customHeight="1" s="165"/>
    <row r="415" ht="15.75" customHeight="1" s="165"/>
    <row r="416" ht="15.75" customHeight="1" s="165"/>
    <row r="417" ht="15.75" customHeight="1" s="165"/>
    <row r="418" ht="15.75" customHeight="1" s="165"/>
    <row r="419" ht="15.75" customHeight="1" s="165"/>
    <row r="420" ht="15.75" customHeight="1" s="165"/>
    <row r="421" ht="15.75" customHeight="1" s="165"/>
    <row r="422" ht="15.75" customHeight="1" s="165"/>
    <row r="423" ht="15.75" customHeight="1" s="165"/>
    <row r="424" ht="15.75" customHeight="1" s="165"/>
    <row r="425" ht="15.75" customHeight="1" s="165"/>
    <row r="426" ht="15.75" customHeight="1" s="165"/>
    <row r="427" ht="15.75" customHeight="1" s="165"/>
    <row r="428" ht="15.75" customHeight="1" s="165"/>
    <row r="429" ht="15.75" customHeight="1" s="165"/>
    <row r="430" ht="15.75" customHeight="1" s="165"/>
    <row r="431" ht="15.75" customHeight="1" s="165"/>
    <row r="432" ht="15.75" customHeight="1" s="165"/>
    <row r="433" ht="15.75" customHeight="1" s="165"/>
    <row r="434" ht="15.75" customHeight="1" s="165"/>
    <row r="435" ht="15.75" customHeight="1" s="165"/>
    <row r="436" ht="15.75" customHeight="1" s="165"/>
    <row r="437" ht="15.75" customHeight="1" s="165"/>
    <row r="438" ht="15.75" customHeight="1" s="165"/>
    <row r="439" ht="15.75" customHeight="1" s="165"/>
    <row r="440" ht="15.75" customHeight="1" s="165"/>
    <row r="441" ht="15.75" customHeight="1" s="165"/>
    <row r="442" ht="15.75" customHeight="1" s="165"/>
    <row r="443" ht="15.75" customHeight="1" s="165"/>
    <row r="444" ht="15.75" customHeight="1" s="165"/>
    <row r="445" ht="15.75" customHeight="1" s="165"/>
    <row r="446" ht="15.75" customHeight="1" s="165"/>
    <row r="447" ht="15.75" customHeight="1" s="165"/>
    <row r="448" ht="15.75" customHeight="1" s="165"/>
    <row r="449" ht="15.75" customHeight="1" s="165"/>
    <row r="450" ht="15.75" customHeight="1" s="165"/>
    <row r="451" ht="15.75" customHeight="1" s="165"/>
    <row r="452" ht="15.75" customHeight="1" s="165"/>
    <row r="453" ht="15.75" customHeight="1" s="165"/>
    <row r="454" ht="15.75" customHeight="1" s="165"/>
    <row r="455" ht="15.75" customHeight="1" s="165"/>
    <row r="456" ht="15.75" customHeight="1" s="165"/>
    <row r="457" ht="15.75" customHeight="1" s="165"/>
    <row r="458" ht="15.75" customHeight="1" s="165"/>
    <row r="459" ht="15.75" customHeight="1" s="165"/>
    <row r="460" ht="15.75" customHeight="1" s="165"/>
    <row r="461" ht="15.75" customHeight="1" s="165"/>
    <row r="462" ht="15.75" customHeight="1" s="165"/>
    <row r="463" ht="15.75" customHeight="1" s="165"/>
    <row r="464" ht="15.75" customHeight="1" s="165"/>
    <row r="465" ht="15.75" customHeight="1" s="165"/>
    <row r="466" ht="15.75" customHeight="1" s="165"/>
    <row r="467" ht="15.75" customHeight="1" s="165"/>
    <row r="468" ht="15.75" customHeight="1" s="165"/>
    <row r="469" ht="15.75" customHeight="1" s="165"/>
    <row r="470" ht="15.75" customHeight="1" s="165"/>
    <row r="471" ht="15.75" customHeight="1" s="165"/>
    <row r="472" ht="15.75" customHeight="1" s="165"/>
    <row r="473" ht="15.75" customHeight="1" s="165"/>
    <row r="474" ht="15.75" customHeight="1" s="165"/>
    <row r="475" ht="15.75" customHeight="1" s="165"/>
    <row r="476" ht="15.75" customHeight="1" s="165"/>
    <row r="477" ht="15.75" customHeight="1" s="165"/>
    <row r="478" ht="15.75" customHeight="1" s="165"/>
    <row r="479" ht="15.75" customHeight="1" s="165"/>
    <row r="480" ht="15.75" customHeight="1" s="165"/>
    <row r="481" ht="15.75" customHeight="1" s="165"/>
    <row r="482" ht="15.75" customHeight="1" s="165"/>
    <row r="483" ht="15.75" customHeight="1" s="165"/>
    <row r="484" ht="15.75" customHeight="1" s="165"/>
    <row r="485" ht="15.75" customHeight="1" s="165"/>
    <row r="486" ht="15.75" customHeight="1" s="165"/>
    <row r="487" ht="15.75" customHeight="1" s="165"/>
    <row r="488" ht="15.75" customHeight="1" s="165"/>
    <row r="489" ht="15.75" customHeight="1" s="165"/>
    <row r="490" ht="15.75" customHeight="1" s="165"/>
    <row r="491" ht="15.75" customHeight="1" s="165"/>
    <row r="492" ht="15.75" customHeight="1" s="165"/>
    <row r="493" ht="15.75" customHeight="1" s="165"/>
    <row r="494" ht="15.75" customHeight="1" s="165"/>
    <row r="495" ht="15.75" customHeight="1" s="165"/>
    <row r="496" ht="15.75" customHeight="1" s="165"/>
    <row r="497" ht="15.75" customHeight="1" s="165"/>
    <row r="498" ht="15.75" customHeight="1" s="165"/>
    <row r="499" ht="15.75" customHeight="1" s="165"/>
    <row r="500" ht="15.75" customHeight="1" s="165"/>
    <row r="501" ht="15.75" customHeight="1" s="165"/>
    <row r="502" ht="15.75" customHeight="1" s="165"/>
    <row r="503" ht="15.75" customHeight="1" s="165"/>
    <row r="504" ht="15.75" customHeight="1" s="165"/>
    <row r="505" ht="15.75" customHeight="1" s="165"/>
    <row r="506" ht="15.75" customHeight="1" s="165"/>
    <row r="507" ht="15.75" customHeight="1" s="165"/>
    <row r="508" ht="15.75" customHeight="1" s="165"/>
    <row r="509" ht="15.75" customHeight="1" s="165"/>
    <row r="510" ht="15.75" customHeight="1" s="165"/>
    <row r="511" ht="15.75" customHeight="1" s="165"/>
    <row r="512" ht="15.75" customHeight="1" s="165"/>
    <row r="513" ht="15.75" customHeight="1" s="165"/>
    <row r="514" ht="15.75" customHeight="1" s="165"/>
    <row r="515" ht="15.75" customHeight="1" s="165"/>
    <row r="516" ht="15.75" customHeight="1" s="165"/>
    <row r="517" ht="15.75" customHeight="1" s="165"/>
    <row r="518" ht="15.75" customHeight="1" s="165"/>
    <row r="519" ht="15.75" customHeight="1" s="165"/>
    <row r="520" ht="15.75" customHeight="1" s="165"/>
    <row r="521" ht="15.75" customHeight="1" s="165"/>
    <row r="522" ht="15.75" customHeight="1" s="165"/>
    <row r="523" ht="15.75" customHeight="1" s="165"/>
    <row r="524" ht="15.75" customHeight="1" s="165"/>
    <row r="525" ht="15.75" customHeight="1" s="165"/>
    <row r="526" ht="15.75" customHeight="1" s="165"/>
    <row r="527" ht="15.75" customHeight="1" s="165"/>
    <row r="528" ht="15.75" customHeight="1" s="165"/>
    <row r="529" ht="15.75" customHeight="1" s="165"/>
    <row r="530" ht="15.75" customHeight="1" s="165"/>
    <row r="531" ht="15.75" customHeight="1" s="165"/>
    <row r="532" ht="15.75" customHeight="1" s="165"/>
    <row r="533" ht="15.75" customHeight="1" s="165"/>
    <row r="534" ht="15.75" customHeight="1" s="165"/>
    <row r="535" ht="15.75" customHeight="1" s="165"/>
    <row r="536" ht="15.75" customHeight="1" s="165"/>
    <row r="537" ht="15.75" customHeight="1" s="165"/>
    <row r="538" ht="15.75" customHeight="1" s="165"/>
    <row r="539" ht="15.75" customHeight="1" s="165"/>
    <row r="540" ht="15.75" customHeight="1" s="165"/>
    <row r="541" ht="15.75" customHeight="1" s="165"/>
    <row r="542" ht="15.75" customHeight="1" s="165"/>
    <row r="543" ht="15.75" customHeight="1" s="165"/>
    <row r="544" ht="15.75" customHeight="1" s="165"/>
    <row r="545" ht="15.75" customHeight="1" s="165"/>
    <row r="546" ht="15.75" customHeight="1" s="165"/>
    <row r="547" ht="15.75" customHeight="1" s="165"/>
    <row r="548" ht="15.75" customHeight="1" s="165"/>
    <row r="549" ht="15.75" customHeight="1" s="165"/>
    <row r="550" ht="15.75" customHeight="1" s="165"/>
    <row r="551" ht="15.75" customHeight="1" s="165"/>
    <row r="552" ht="15.75" customHeight="1" s="165"/>
    <row r="553" ht="15.75" customHeight="1" s="165"/>
    <row r="554" ht="15.75" customHeight="1" s="165"/>
    <row r="555" ht="15.75" customHeight="1" s="165"/>
    <row r="556" ht="15.75" customHeight="1" s="165"/>
    <row r="557" ht="15.75" customHeight="1" s="165"/>
    <row r="558" ht="15.75" customHeight="1" s="165"/>
    <row r="559" ht="15.75" customHeight="1" s="165"/>
    <row r="560" ht="15.75" customHeight="1" s="165"/>
    <row r="561" ht="15.75" customHeight="1" s="165"/>
    <row r="562" ht="15.75" customHeight="1" s="165"/>
    <row r="563" ht="15.75" customHeight="1" s="165"/>
    <row r="564" ht="15.75" customHeight="1" s="165"/>
    <row r="565" ht="15.75" customHeight="1" s="165"/>
    <row r="566" ht="15.75" customHeight="1" s="165"/>
    <row r="567" ht="15.75" customHeight="1" s="165"/>
    <row r="568" ht="15.75" customHeight="1" s="165"/>
    <row r="569" ht="15.75" customHeight="1" s="165"/>
    <row r="570" ht="15.75" customHeight="1" s="165"/>
    <row r="571" ht="15.75" customHeight="1" s="165"/>
    <row r="572" ht="15.75" customHeight="1" s="165"/>
    <row r="573" ht="15.75" customHeight="1" s="165"/>
    <row r="574" ht="15.75" customHeight="1" s="165"/>
    <row r="575" ht="15.75" customHeight="1" s="165"/>
    <row r="576" ht="15.75" customHeight="1" s="165"/>
    <row r="577" ht="15.75" customHeight="1" s="165"/>
    <row r="578" ht="15.75" customHeight="1" s="165"/>
    <row r="579" ht="15.75" customHeight="1" s="165"/>
    <row r="580" ht="15.75" customHeight="1" s="165"/>
    <row r="581" ht="15.75" customHeight="1" s="165"/>
    <row r="582" ht="15.75" customHeight="1" s="165"/>
    <row r="583" ht="15.75" customHeight="1" s="165"/>
    <row r="584" ht="15.75" customHeight="1" s="165"/>
    <row r="585" ht="15.75" customHeight="1" s="165"/>
    <row r="586" ht="15.75" customHeight="1" s="165"/>
    <row r="587" ht="15.75" customHeight="1" s="165"/>
    <row r="588" ht="15.75" customHeight="1" s="165"/>
    <row r="589" ht="15.75" customHeight="1" s="165"/>
    <row r="590" ht="15.75" customHeight="1" s="165"/>
    <row r="591" ht="15.75" customHeight="1" s="165"/>
    <row r="592" ht="15.75" customHeight="1" s="165"/>
    <row r="593" ht="15.75" customHeight="1" s="165"/>
    <row r="594" ht="15.75" customHeight="1" s="165"/>
    <row r="595" ht="15.75" customHeight="1" s="165"/>
    <row r="596" ht="15.75" customHeight="1" s="165"/>
    <row r="597" ht="15.75" customHeight="1" s="165"/>
    <row r="598" ht="15.75" customHeight="1" s="165"/>
    <row r="599" ht="15.75" customHeight="1" s="165"/>
    <row r="600" ht="15.75" customHeight="1" s="165"/>
    <row r="601" ht="15.75" customHeight="1" s="165"/>
    <row r="602" ht="15.75" customHeight="1" s="165"/>
    <row r="603" ht="15.75" customHeight="1" s="165"/>
    <row r="604" ht="15.75" customHeight="1" s="165"/>
    <row r="605" ht="15.75" customHeight="1" s="165"/>
    <row r="606" ht="15.75" customHeight="1" s="165"/>
    <row r="607" ht="15.75" customHeight="1" s="165"/>
    <row r="608" ht="15.75" customHeight="1" s="165"/>
    <row r="609" ht="15.75" customHeight="1" s="165"/>
    <row r="610" ht="15.75" customHeight="1" s="165"/>
    <row r="611" ht="15.75" customHeight="1" s="165"/>
    <row r="612" ht="15.75" customHeight="1" s="165"/>
    <row r="613" ht="15.75" customHeight="1" s="165"/>
    <row r="614" ht="15.75" customHeight="1" s="165"/>
    <row r="615" ht="15.75" customHeight="1" s="165"/>
    <row r="616" ht="15.75" customHeight="1" s="165"/>
    <row r="617" ht="15.75" customHeight="1" s="165"/>
    <row r="618" ht="15.75" customHeight="1" s="165"/>
    <row r="619" ht="15.75" customHeight="1" s="165"/>
    <row r="620" ht="15.75" customHeight="1" s="165"/>
    <row r="621" ht="15.75" customHeight="1" s="165"/>
    <row r="622" ht="15.75" customHeight="1" s="165"/>
    <row r="623" ht="15.75" customHeight="1" s="165"/>
    <row r="624" ht="15.75" customHeight="1" s="165"/>
    <row r="625" ht="15.75" customHeight="1" s="165"/>
    <row r="626" ht="15.75" customHeight="1" s="165"/>
    <row r="627" ht="15.75" customHeight="1" s="165"/>
    <row r="628" ht="15.75" customHeight="1" s="165"/>
    <row r="629" ht="15.75" customHeight="1" s="165"/>
    <row r="630" ht="15.75" customHeight="1" s="165"/>
    <row r="631" ht="15.75" customHeight="1" s="165"/>
    <row r="632" ht="15.75" customHeight="1" s="165"/>
    <row r="633" ht="15.75" customHeight="1" s="165"/>
    <row r="634" ht="15.75" customHeight="1" s="165"/>
    <row r="635" ht="15.75" customHeight="1" s="165"/>
    <row r="636" ht="15.75" customHeight="1" s="165"/>
    <row r="637" ht="15.75" customHeight="1" s="165"/>
    <row r="638" ht="15.75" customHeight="1" s="165"/>
    <row r="639" ht="15.75" customHeight="1" s="165"/>
    <row r="640" ht="15.75" customHeight="1" s="165"/>
    <row r="641" ht="15.75" customHeight="1" s="165"/>
    <row r="642" ht="15.75" customHeight="1" s="165"/>
    <row r="643" ht="15.75" customHeight="1" s="165"/>
    <row r="644" ht="15.75" customHeight="1" s="165"/>
    <row r="645" ht="15.75" customHeight="1" s="165"/>
    <row r="646" ht="15.75" customHeight="1" s="165"/>
    <row r="647" ht="15.75" customHeight="1" s="165"/>
    <row r="648" ht="15.75" customHeight="1" s="165"/>
    <row r="649" ht="15.75" customHeight="1" s="165"/>
    <row r="650" ht="15.75" customHeight="1" s="165"/>
    <row r="651" ht="15.75" customHeight="1" s="165"/>
    <row r="652" ht="15.75" customHeight="1" s="165"/>
    <row r="653" ht="15.75" customHeight="1" s="165"/>
    <row r="654" ht="15.75" customHeight="1" s="165"/>
    <row r="655" ht="15.75" customHeight="1" s="165"/>
    <row r="656" ht="15.75" customHeight="1" s="165"/>
    <row r="657" ht="15.75" customHeight="1" s="165"/>
    <row r="658" ht="15.75" customHeight="1" s="165"/>
    <row r="659" ht="15.75" customHeight="1" s="165"/>
    <row r="660" ht="15.75" customHeight="1" s="165"/>
    <row r="661" ht="15.75" customHeight="1" s="165"/>
    <row r="662" ht="15.75" customHeight="1" s="165"/>
    <row r="663" ht="15.75" customHeight="1" s="165"/>
    <row r="664" ht="15.75" customHeight="1" s="165"/>
    <row r="665" ht="15.75" customHeight="1" s="165"/>
    <row r="666" ht="15.75" customHeight="1" s="165"/>
    <row r="667" ht="15.75" customHeight="1" s="165"/>
    <row r="668" ht="15.75" customHeight="1" s="165"/>
    <row r="669" ht="15.75" customHeight="1" s="165"/>
    <row r="670" ht="15.75" customHeight="1" s="165"/>
    <row r="671" ht="15.75" customHeight="1" s="165"/>
    <row r="672" ht="15.75" customHeight="1" s="165"/>
    <row r="673" ht="15.75" customHeight="1" s="165"/>
    <row r="674" ht="15.75" customHeight="1" s="165"/>
    <row r="675" ht="15.75" customHeight="1" s="165"/>
    <row r="676" ht="15.75" customHeight="1" s="165"/>
    <row r="677" ht="15.75" customHeight="1" s="165"/>
    <row r="678" ht="15.75" customHeight="1" s="165"/>
    <row r="679" ht="15.75" customHeight="1" s="165"/>
    <row r="680" ht="15.75" customHeight="1" s="165"/>
    <row r="681" ht="15.75" customHeight="1" s="165"/>
    <row r="682" ht="15.75" customHeight="1" s="165"/>
    <row r="683" ht="15.75" customHeight="1" s="165"/>
    <row r="684" ht="15.75" customHeight="1" s="165"/>
    <row r="685" ht="15.75" customHeight="1" s="165"/>
    <row r="686" ht="15.75" customHeight="1" s="165"/>
    <row r="687" ht="15.75" customHeight="1" s="165"/>
    <row r="688" ht="15.75" customHeight="1" s="165"/>
    <row r="689" ht="15.75" customHeight="1" s="165"/>
    <row r="690" ht="15.75" customHeight="1" s="165"/>
    <row r="691" ht="15.75" customHeight="1" s="165"/>
    <row r="692" ht="15.75" customHeight="1" s="165"/>
    <row r="693" ht="15.75" customHeight="1" s="165"/>
    <row r="694" ht="15.75" customHeight="1" s="165"/>
    <row r="695" ht="15.75" customHeight="1" s="165"/>
    <row r="696" ht="15.75" customHeight="1" s="165"/>
    <row r="697" ht="15.75" customHeight="1" s="165"/>
    <row r="698" ht="15.75" customHeight="1" s="165"/>
    <row r="699" ht="15.75" customHeight="1" s="165"/>
    <row r="700" ht="15.75" customHeight="1" s="165"/>
    <row r="701" ht="15.75" customHeight="1" s="165"/>
    <row r="702" ht="15.75" customHeight="1" s="165"/>
    <row r="703" ht="15.75" customHeight="1" s="165"/>
    <row r="704" ht="15.75" customHeight="1" s="165"/>
    <row r="705" ht="15.75" customHeight="1" s="165"/>
    <row r="706" ht="15.75" customHeight="1" s="165"/>
    <row r="707" ht="15.75" customHeight="1" s="165"/>
    <row r="708" ht="15.75" customHeight="1" s="165"/>
    <row r="709" ht="15.75" customHeight="1" s="165"/>
    <row r="710" ht="15.75" customHeight="1" s="165"/>
    <row r="711" ht="15.75" customHeight="1" s="165"/>
    <row r="712" ht="15.75" customHeight="1" s="165"/>
    <row r="713" ht="15.75" customHeight="1" s="165"/>
    <row r="714" ht="15.75" customHeight="1" s="165"/>
    <row r="715" ht="15.75" customHeight="1" s="165"/>
    <row r="716" ht="15.75" customHeight="1" s="165"/>
    <row r="717" ht="15.75" customHeight="1" s="165"/>
    <row r="718" ht="15.75" customHeight="1" s="165"/>
    <row r="719" ht="15.75" customHeight="1" s="165"/>
    <row r="720" ht="15.75" customHeight="1" s="165"/>
    <row r="721" ht="15.75" customHeight="1" s="165"/>
    <row r="722" ht="15.75" customHeight="1" s="165"/>
    <row r="723" ht="15.75" customHeight="1" s="165"/>
    <row r="724" ht="15.75" customHeight="1" s="165"/>
    <row r="725" ht="15.75" customHeight="1" s="165"/>
    <row r="726" ht="15.75" customHeight="1" s="165"/>
    <row r="727" ht="15.75" customHeight="1" s="165"/>
    <row r="728" ht="15.75" customHeight="1" s="165"/>
    <row r="729" ht="15.75" customHeight="1" s="165"/>
    <row r="730" ht="15.75" customHeight="1" s="165"/>
    <row r="731" ht="15.75" customHeight="1" s="165"/>
    <row r="732" ht="15.75" customHeight="1" s="165"/>
    <row r="733" ht="15.75" customHeight="1" s="165"/>
    <row r="734" ht="15.75" customHeight="1" s="165"/>
    <row r="735" ht="15.75" customHeight="1" s="165"/>
    <row r="736" ht="15.75" customHeight="1" s="165"/>
    <row r="737" ht="15.75" customHeight="1" s="165"/>
    <row r="738" ht="15.75" customHeight="1" s="165"/>
    <row r="739" ht="15.75" customHeight="1" s="165"/>
    <row r="740" ht="15.75" customHeight="1" s="165"/>
    <row r="741" ht="15.75" customHeight="1" s="165"/>
    <row r="742" ht="15.75" customHeight="1" s="165"/>
    <row r="743" ht="15.75" customHeight="1" s="165"/>
    <row r="744" ht="15.75" customHeight="1" s="165"/>
    <row r="745" ht="15.75" customHeight="1" s="165"/>
    <row r="746" ht="15.75" customHeight="1" s="165"/>
    <row r="747" ht="15.75" customHeight="1" s="165"/>
    <row r="748" ht="15.75" customHeight="1" s="165"/>
    <row r="749" ht="15.75" customHeight="1" s="165"/>
    <row r="750" ht="15.75" customHeight="1" s="165"/>
    <row r="751" ht="15.75" customHeight="1" s="165"/>
    <row r="752" ht="15.75" customHeight="1" s="165"/>
    <row r="753" ht="15.75" customHeight="1" s="165"/>
    <row r="754" ht="15.75" customHeight="1" s="165"/>
    <row r="755" ht="15.75" customHeight="1" s="165"/>
    <row r="756" ht="15.75" customHeight="1" s="165"/>
    <row r="757" ht="15.75" customHeight="1" s="165"/>
    <row r="758" ht="15.75" customHeight="1" s="165"/>
    <row r="759" ht="15.75" customHeight="1" s="165"/>
    <row r="760" ht="15.75" customHeight="1" s="165"/>
    <row r="761" ht="15.75" customHeight="1" s="165"/>
    <row r="762" ht="15.75" customHeight="1" s="165"/>
    <row r="763" ht="15.75" customHeight="1" s="165"/>
    <row r="764" ht="15.75" customHeight="1" s="165"/>
    <row r="765" ht="15.75" customHeight="1" s="165"/>
    <row r="766" ht="15.75" customHeight="1" s="165"/>
    <row r="767" ht="15.75" customHeight="1" s="165"/>
    <row r="768" ht="15.75" customHeight="1" s="165"/>
    <row r="769" ht="15.75" customHeight="1" s="165"/>
    <row r="770" ht="15.75" customHeight="1" s="165"/>
    <row r="771" ht="15.75" customHeight="1" s="165"/>
    <row r="772" ht="15.75" customHeight="1" s="165"/>
    <row r="773" ht="15.75" customHeight="1" s="165"/>
    <row r="774" ht="15.75" customHeight="1" s="165"/>
    <row r="775" ht="15.75" customHeight="1" s="165"/>
    <row r="776" ht="15.75" customHeight="1" s="165"/>
    <row r="777" ht="15.75" customHeight="1" s="165"/>
    <row r="778" ht="15.75" customHeight="1" s="165"/>
    <row r="779" ht="15.75" customHeight="1" s="165"/>
    <row r="780" ht="15.75" customHeight="1" s="165"/>
    <row r="781" ht="15.75" customHeight="1" s="165"/>
    <row r="782" ht="15.75" customHeight="1" s="165"/>
    <row r="783" ht="15.75" customHeight="1" s="165"/>
    <row r="784" ht="15.75" customHeight="1" s="165"/>
    <row r="785" ht="15.75" customHeight="1" s="165"/>
    <row r="786" ht="15.75" customHeight="1" s="165"/>
    <row r="787" ht="15.75" customHeight="1" s="165"/>
    <row r="788" ht="15.75" customHeight="1" s="165"/>
    <row r="789" ht="15.75" customHeight="1" s="165"/>
    <row r="790" ht="15.75" customHeight="1" s="165"/>
    <row r="791" ht="15.75" customHeight="1" s="165"/>
    <row r="792" ht="15.75" customHeight="1" s="165"/>
    <row r="793" ht="15.75" customHeight="1" s="165"/>
    <row r="794" ht="15.75" customHeight="1" s="165"/>
    <row r="795" ht="15.75" customHeight="1" s="165"/>
    <row r="796" ht="15.75" customHeight="1" s="165"/>
    <row r="797" ht="15.75" customHeight="1" s="165"/>
    <row r="798" ht="15.75" customHeight="1" s="165"/>
    <row r="799" ht="15.75" customHeight="1" s="165"/>
    <row r="800" ht="15.75" customHeight="1" s="165"/>
    <row r="801" ht="15.75" customHeight="1" s="165"/>
    <row r="802" ht="15.75" customHeight="1" s="165"/>
    <row r="803" ht="15.75" customHeight="1" s="165"/>
    <row r="804" ht="15.75" customHeight="1" s="165"/>
    <row r="805" ht="15.75" customHeight="1" s="165"/>
    <row r="806" ht="15.75" customHeight="1" s="165"/>
    <row r="807" ht="15.75" customHeight="1" s="165"/>
    <row r="808" ht="15.75" customHeight="1" s="165"/>
    <row r="809" ht="15.75" customHeight="1" s="165"/>
    <row r="810" ht="15.75" customHeight="1" s="165"/>
    <row r="811" ht="15.75" customHeight="1" s="165"/>
    <row r="812" ht="15.75" customHeight="1" s="165"/>
    <row r="813" ht="15.75" customHeight="1" s="165"/>
    <row r="814" ht="15.75" customHeight="1" s="165"/>
    <row r="815" ht="15.75" customHeight="1" s="165"/>
    <row r="816" ht="15.75" customHeight="1" s="165"/>
    <row r="817" ht="15.75" customHeight="1" s="165"/>
    <row r="818" ht="15.75" customHeight="1" s="165"/>
    <row r="819" ht="15.75" customHeight="1" s="165"/>
    <row r="820" ht="15.75" customHeight="1" s="165"/>
    <row r="821" ht="15.75" customHeight="1" s="165"/>
    <row r="822" ht="15.75" customHeight="1" s="165"/>
    <row r="823" ht="15.75" customHeight="1" s="165"/>
    <row r="824" ht="15.75" customHeight="1" s="165"/>
    <row r="825" ht="15.75" customHeight="1" s="165"/>
    <row r="826" ht="15.75" customHeight="1" s="165"/>
    <row r="827" ht="15.75" customHeight="1" s="165"/>
    <row r="828" ht="15.75" customHeight="1" s="165"/>
    <row r="829" ht="15.75" customHeight="1" s="165"/>
    <row r="830" ht="15.75" customHeight="1" s="165"/>
    <row r="831" ht="15.75" customHeight="1" s="165"/>
    <row r="832" ht="15.75" customHeight="1" s="165"/>
    <row r="833" ht="15.75" customHeight="1" s="165"/>
    <row r="834" ht="15.75" customHeight="1" s="165"/>
    <row r="835" ht="15.75" customHeight="1" s="165"/>
    <row r="836" ht="15.75" customHeight="1" s="165"/>
    <row r="837" ht="15.75" customHeight="1" s="165"/>
    <row r="838" ht="15.75" customHeight="1" s="165"/>
    <row r="839" ht="15.75" customHeight="1" s="165"/>
    <row r="840" ht="15.75" customHeight="1" s="165"/>
    <row r="841" ht="15.75" customHeight="1" s="165"/>
    <row r="842" ht="15.75" customHeight="1" s="165"/>
    <row r="843" ht="15.75" customHeight="1" s="165"/>
    <row r="844" ht="15.75" customHeight="1" s="165"/>
    <row r="845" ht="15.75" customHeight="1" s="165"/>
    <row r="846" ht="15.75" customHeight="1" s="165"/>
    <row r="847" ht="15.75" customHeight="1" s="165"/>
    <row r="848" ht="15.75" customHeight="1" s="165"/>
    <row r="849" ht="15.75" customHeight="1" s="165"/>
    <row r="850" ht="15.75" customHeight="1" s="165"/>
    <row r="851" ht="15.75" customHeight="1" s="165"/>
    <row r="852" ht="15.75" customHeight="1" s="165"/>
    <row r="853" ht="15.75" customHeight="1" s="165"/>
    <row r="854" ht="15.75" customHeight="1" s="165"/>
    <row r="855" ht="15.75" customHeight="1" s="165"/>
    <row r="856" ht="15.75" customHeight="1" s="165"/>
    <row r="857" ht="15.75" customHeight="1" s="165"/>
    <row r="858" ht="15.75" customHeight="1" s="165"/>
    <row r="859" ht="15.75" customHeight="1" s="165"/>
    <row r="860" ht="15.75" customHeight="1" s="165"/>
    <row r="861" ht="15.75" customHeight="1" s="165"/>
    <row r="862" ht="15.75" customHeight="1" s="165"/>
    <row r="863" ht="15.75" customHeight="1" s="165"/>
    <row r="864" ht="15.75" customHeight="1" s="165"/>
    <row r="865" ht="15.75" customHeight="1" s="165"/>
    <row r="866" ht="15.75" customHeight="1" s="165"/>
    <row r="867" ht="15.75" customHeight="1" s="165"/>
    <row r="868" ht="15.75" customHeight="1" s="165"/>
    <row r="869" ht="15.75" customHeight="1" s="165"/>
    <row r="870" ht="15.75" customHeight="1" s="165"/>
    <row r="871" ht="15.75" customHeight="1" s="165"/>
    <row r="872" ht="15.75" customHeight="1" s="165"/>
    <row r="873" ht="15.75" customHeight="1" s="165"/>
    <row r="874" ht="15.75" customHeight="1" s="165"/>
    <row r="875" ht="15.75" customHeight="1" s="165"/>
    <row r="876" ht="15.75" customHeight="1" s="165"/>
    <row r="877" ht="15.75" customHeight="1" s="165"/>
    <row r="878" ht="15.75" customHeight="1" s="165"/>
    <row r="879" ht="15.75" customHeight="1" s="165"/>
    <row r="880" ht="15.75" customHeight="1" s="165"/>
    <row r="881" ht="15.75" customHeight="1" s="165"/>
    <row r="882" ht="15.75" customHeight="1" s="165"/>
    <row r="883" ht="15.75" customHeight="1" s="165"/>
    <row r="884" ht="15.75" customHeight="1" s="165"/>
    <row r="885" ht="15.75" customHeight="1" s="165"/>
    <row r="886" ht="15.75" customHeight="1" s="165"/>
    <row r="887" ht="15.75" customHeight="1" s="165"/>
    <row r="888" ht="15.75" customHeight="1" s="165"/>
    <row r="889" ht="15.75" customHeight="1" s="165"/>
    <row r="890" ht="15.75" customHeight="1" s="165"/>
    <row r="891" ht="15.75" customHeight="1" s="165"/>
    <row r="892" ht="15.75" customHeight="1" s="165"/>
    <row r="893" ht="15.75" customHeight="1" s="165"/>
    <row r="894" ht="15.75" customHeight="1" s="165"/>
    <row r="895" ht="15.75" customHeight="1" s="165"/>
    <row r="896" ht="15.75" customHeight="1" s="165"/>
    <row r="897" ht="15.75" customHeight="1" s="165"/>
    <row r="898" ht="15.75" customHeight="1" s="165"/>
    <row r="899" ht="15.75" customHeight="1" s="165"/>
    <row r="900" ht="15.75" customHeight="1" s="165"/>
    <row r="901" ht="15.75" customHeight="1" s="165"/>
    <row r="902" ht="15.75" customHeight="1" s="165"/>
    <row r="903" ht="15.75" customHeight="1" s="165"/>
    <row r="904" ht="15.75" customHeight="1" s="165"/>
    <row r="905" ht="15.75" customHeight="1" s="165"/>
    <row r="906" ht="15.75" customHeight="1" s="165"/>
    <row r="907" ht="15.75" customHeight="1" s="165"/>
    <row r="908" ht="15.75" customHeight="1" s="165"/>
    <row r="909" ht="15.75" customHeight="1" s="165"/>
    <row r="910" ht="15.75" customHeight="1" s="165"/>
    <row r="911" ht="15.75" customHeight="1" s="165"/>
    <row r="912" ht="15.75" customHeight="1" s="165"/>
    <row r="913" ht="15.75" customHeight="1" s="165"/>
    <row r="914" ht="15.75" customHeight="1" s="165"/>
    <row r="915" ht="15.75" customHeight="1" s="165"/>
    <row r="916" ht="15.75" customHeight="1" s="165"/>
    <row r="917" ht="15.75" customHeight="1" s="165"/>
    <row r="918" ht="15.75" customHeight="1" s="165"/>
    <row r="919" ht="15.75" customHeight="1" s="165"/>
    <row r="920" ht="15.75" customHeight="1" s="165"/>
    <row r="921" ht="15.75" customHeight="1" s="165"/>
    <row r="922" ht="15.75" customHeight="1" s="165"/>
    <row r="923" ht="15.75" customHeight="1" s="165"/>
    <row r="924" ht="15.75" customHeight="1" s="165"/>
    <row r="925" ht="15.75" customHeight="1" s="165"/>
    <row r="926" ht="15.75" customHeight="1" s="165"/>
    <row r="927" ht="15.75" customHeight="1" s="165"/>
    <row r="928" ht="15.75" customHeight="1" s="165"/>
    <row r="929" ht="15.75" customHeight="1" s="165"/>
    <row r="930" ht="15.75" customHeight="1" s="165"/>
    <row r="931" ht="15.75" customHeight="1" s="165"/>
    <row r="932" ht="15.75" customHeight="1" s="165"/>
    <row r="933" ht="15.75" customHeight="1" s="165"/>
    <row r="934" ht="15.75" customHeight="1" s="165"/>
    <row r="935" ht="15.75" customHeight="1" s="165"/>
    <row r="936" ht="15.75" customHeight="1" s="165"/>
    <row r="937" ht="15.75" customHeight="1" s="165"/>
    <row r="938" ht="15.75" customHeight="1" s="165"/>
    <row r="939" ht="15.75" customHeight="1" s="165"/>
    <row r="940" ht="15.75" customHeight="1" s="165"/>
    <row r="941" ht="15.75" customHeight="1" s="165"/>
    <row r="942" ht="15.75" customHeight="1" s="165"/>
    <row r="943" ht="15.75" customHeight="1" s="165"/>
    <row r="944" ht="15.75" customHeight="1" s="165"/>
    <row r="945" ht="15.75" customHeight="1" s="165"/>
    <row r="946" ht="15.75" customHeight="1" s="165"/>
    <row r="947" ht="15.75" customHeight="1" s="165"/>
    <row r="948" ht="15.75" customHeight="1" s="165"/>
    <row r="949" ht="15.75" customHeight="1" s="165"/>
    <row r="950" ht="15.75" customHeight="1" s="165"/>
    <row r="951" ht="15.75" customHeight="1" s="165"/>
    <row r="952" ht="15.75" customHeight="1" s="165"/>
    <row r="953" ht="15.75" customHeight="1" s="165"/>
    <row r="954" ht="15.75" customHeight="1" s="165"/>
    <row r="955" ht="15.75" customHeight="1" s="165"/>
    <row r="956" ht="15.75" customHeight="1" s="165"/>
    <row r="957" ht="15.75" customHeight="1" s="165"/>
    <row r="958" ht="15.75" customHeight="1" s="165"/>
    <row r="959" ht="15.75" customHeight="1" s="165"/>
    <row r="960" ht="15.75" customHeight="1" s="165"/>
    <row r="961" ht="15.75" customHeight="1" s="165"/>
    <row r="962" ht="15.75" customHeight="1" s="165"/>
    <row r="963" ht="15.75" customHeight="1" s="165"/>
    <row r="964" ht="15.75" customHeight="1" s="165"/>
    <row r="965" ht="15.75" customHeight="1" s="165"/>
    <row r="966" ht="15.75" customHeight="1" s="165"/>
    <row r="967" ht="15.75" customHeight="1" s="165"/>
    <row r="968" ht="15.75" customHeight="1" s="165"/>
    <row r="969" ht="15.75" customHeight="1" s="165"/>
    <row r="970" ht="15.75" customHeight="1" s="165"/>
    <row r="971" ht="15.75" customHeight="1" s="165"/>
    <row r="972" ht="15.75" customHeight="1" s="165"/>
    <row r="973" ht="15.75" customHeight="1" s="165"/>
    <row r="974" ht="15.75" customHeight="1" s="165"/>
    <row r="975" ht="15.75" customHeight="1" s="165"/>
    <row r="976" ht="15.75" customHeight="1" s="165"/>
    <row r="977" ht="15.75" customHeight="1" s="165"/>
    <row r="978" ht="15.75" customHeight="1" s="165"/>
    <row r="979" ht="15.75" customHeight="1" s="165"/>
    <row r="980" ht="15.75" customHeight="1" s="165"/>
    <row r="981" ht="15.75" customHeight="1" s="165"/>
    <row r="982" ht="15.75" customHeight="1" s="165"/>
    <row r="983" ht="15.75" customHeight="1" s="165"/>
    <row r="984" ht="15.75" customHeight="1" s="165"/>
    <row r="985" ht="15.75" customHeight="1" s="165"/>
    <row r="986" ht="15.75" customHeight="1" s="165"/>
    <row r="987" ht="15.75" customHeight="1" s="165"/>
    <row r="988" ht="15.75" customHeight="1" s="165"/>
    <row r="989" ht="15.75" customHeight="1" s="165"/>
    <row r="990" ht="15.75" customHeight="1" s="165"/>
    <row r="991" ht="15.75" customHeight="1" s="165"/>
    <row r="992" ht="15.75" customHeight="1" s="165"/>
    <row r="993" ht="15.75" customHeight="1" s="165"/>
    <row r="994" ht="15.75" customHeight="1" s="165"/>
    <row r="995" ht="15.75" customHeight="1" s="165"/>
    <row r="996" ht="15.75" customHeight="1" s="165"/>
    <row r="997" ht="15.75" customHeight="1" s="165"/>
    <row r="998" ht="15.75" customHeight="1" s="165"/>
    <row r="999" ht="15.75" customHeight="1" s="165"/>
  </sheetData>
  <mergeCells count="6">
    <mergeCell ref="D5:F5"/>
    <mergeCell ref="B3:C3"/>
    <mergeCell ref="B5:C5"/>
    <mergeCell ref="D4:F4"/>
    <mergeCell ref="D3:F3"/>
    <mergeCell ref="B4:C4"/>
  </mergeCells>
  <pageMargins left="0.7479166666666667" right="0.7479166666666667" top="0.9840277777777778" bottom="1.150694444444444" header="0" footer="0"/>
  <pageSetup orientation="landscape" paperSize="9"/>
  <headerFooter>
    <oddHeader/>
    <oddFooter>&amp;L 02ae-BM/PM/HDCV/FSOFT v2/0&amp;CInternal use&amp;R&amp;P/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selection activeCell="A1" sqref="A1"/>
    </sheetView>
  </sheetViews>
  <sheetFormatPr baseColWidth="8" defaultColWidth="12.63" defaultRowHeight="15" customHeight="1"/>
  <cols>
    <col width="4.5" customWidth="1" style="165" min="1" max="1"/>
    <col width="9.75" customWidth="1" style="165" min="2" max="2"/>
    <col width="44.75" customWidth="1" style="165" min="3" max="3"/>
    <col width="6.88" customWidth="1" style="165" min="4" max="4"/>
    <col width="7.63" customWidth="1" style="165" min="5" max="5"/>
    <col width="6.63" customWidth="1" style="165" min="6" max="7"/>
    <col width="17.5" customWidth="1" style="165" min="8" max="8"/>
    <col width="9" customWidth="1" style="165" min="9" max="26"/>
  </cols>
  <sheetData>
    <row r="1" ht="25.5" customHeight="1" s="165">
      <c r="A1" s="10" t="n"/>
      <c r="B1" s="69" t="inlineStr">
        <is>
          <t>TEST STATISTICS</t>
        </is>
      </c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4.25" customHeight="1" s="165">
      <c r="A2" s="71" t="n"/>
      <c r="B2" s="71" t="n"/>
      <c r="C2" s="10" t="n"/>
      <c r="D2" s="10" t="n"/>
      <c r="E2" s="10" t="n"/>
      <c r="F2" s="10" t="n"/>
      <c r="G2" s="10" t="n"/>
      <c r="H2" s="72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0" t="n"/>
      <c r="B3" s="73" t="inlineStr">
        <is>
          <t>Project Name</t>
        </is>
      </c>
      <c r="C3" s="179" t="inlineStr">
        <is>
          <t>Website bán laptop</t>
        </is>
      </c>
      <c r="D3" s="168" t="n"/>
      <c r="E3" s="180" t="inlineStr">
        <is>
          <t>Creator</t>
        </is>
      </c>
      <c r="F3" s="168" t="n"/>
      <c r="G3" s="76" t="n"/>
      <c r="H3" s="79" t="inlineStr">
        <is>
          <t>LUCTV</t>
        </is>
      </c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>
      <c r="A4" s="10" t="n"/>
      <c r="B4" s="73" t="inlineStr">
        <is>
          <t>Project Code</t>
        </is>
      </c>
      <c r="C4" s="179" t="inlineStr">
        <is>
          <t>SWP391</t>
        </is>
      </c>
      <c r="D4" s="168" t="n"/>
      <c r="E4" s="180" t="inlineStr">
        <is>
          <t>Reviewer/Approver</t>
        </is>
      </c>
      <c r="F4" s="168" t="n"/>
      <c r="G4" s="76" t="n"/>
      <c r="H4" s="79" t="inlineStr">
        <is>
          <t>Lecturer / Reviewer</t>
        </is>
      </c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</row>
    <row r="5" ht="12" customHeight="1" s="165">
      <c r="A5" s="10" t="n"/>
      <c r="B5" s="80" t="inlineStr">
        <is>
          <t>Document Code</t>
        </is>
      </c>
      <c r="C5" s="179">
        <f>C4&amp;"_"&amp;"Test Report"</f>
        <v/>
      </c>
      <c r="D5" s="168" t="n"/>
      <c r="E5" s="180" t="inlineStr">
        <is>
          <t>Issue Date</t>
        </is>
      </c>
      <c r="F5" s="168" t="n"/>
      <c r="G5" s="76" t="n"/>
      <c r="H5" s="81" t="n">
        <v>46181</v>
      </c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</row>
    <row r="6" ht="21.75" customHeight="1" s="165">
      <c r="A6" s="71" t="n"/>
      <c r="B6" s="80" t="inlineStr">
        <is>
          <t>Notes</t>
        </is>
      </c>
      <c r="C6" s="176" t="inlineStr">
        <is>
          <t xml:space="preserve">Prepared for Iteration 1 only. Round 1 results are Pending until the team executes the demo build.
</t>
        </is>
      </c>
      <c r="D6" s="167" t="n"/>
      <c r="E6" s="167" t="n"/>
      <c r="F6" s="167" t="n"/>
      <c r="G6" s="167" t="n"/>
      <c r="H6" s="168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</row>
    <row r="7" ht="14.25" customHeight="1" s="165">
      <c r="A7" s="71" t="n"/>
      <c r="B7" s="83" t="n"/>
      <c r="C7" s="202" t="n"/>
      <c r="D7" s="204" t="n"/>
      <c r="E7" s="204" t="n"/>
      <c r="F7" s="204" t="n"/>
      <c r="G7" s="204" t="n"/>
      <c r="H7" s="85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</row>
    <row r="8" ht="12.75" customHeight="1" s="165">
      <c r="A8" s="10" t="n"/>
      <c r="B8" s="83" t="n"/>
      <c r="C8" s="202" t="n"/>
      <c r="D8" s="204" t="n"/>
      <c r="E8" s="204" t="n"/>
      <c r="F8" s="204" t="n"/>
      <c r="G8" s="204" t="n"/>
      <c r="H8" s="85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</row>
    <row r="9" ht="12.75" customHeight="1" s="165">
      <c r="A9" s="10" t="n"/>
      <c r="B9" s="204" t="n"/>
      <c r="C9" s="204" t="n"/>
      <c r="D9" s="204" t="n"/>
      <c r="E9" s="204" t="n"/>
      <c r="F9" s="204" t="n"/>
      <c r="G9" s="204" t="n"/>
      <c r="H9" s="204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</row>
    <row r="10" ht="12.75" customHeight="1" s="165">
      <c r="A10" s="86" t="n"/>
      <c r="B10" s="87" t="inlineStr">
        <is>
          <t>No</t>
        </is>
      </c>
      <c r="C10" s="88" t="inlineStr">
        <is>
          <t>Module code</t>
        </is>
      </c>
      <c r="D10" s="88" t="inlineStr">
        <is>
          <t>Passed</t>
        </is>
      </c>
      <c r="E10" s="88" t="inlineStr">
        <is>
          <t>Failed</t>
        </is>
      </c>
      <c r="F10" s="88" t="inlineStr">
        <is>
          <t>Pending</t>
        </is>
      </c>
      <c r="G10" s="89" t="inlineStr">
        <is>
          <t>N/A</t>
        </is>
      </c>
      <c r="H10" s="90" t="inlineStr">
        <is>
          <t>Number of  test cases</t>
        </is>
      </c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</row>
    <row r="11">
      <c r="A11" s="59" t="n"/>
      <c r="B11" s="91" t="n">
        <v>1</v>
      </c>
      <c r="C11" s="92" t="inlineStr">
        <is>
          <t>Iteration 1 - Register Account</t>
        </is>
      </c>
      <c r="D11" s="94">
        <f>Register_TC!B6</f>
        <v/>
      </c>
      <c r="E11" s="94">
        <f>Register_TC!C6</f>
        <v/>
      </c>
      <c r="F11" s="94">
        <f>Register_TC!D6</f>
        <v/>
      </c>
      <c r="G11" s="94">
        <f>Register_TC!E6</f>
        <v/>
      </c>
      <c r="H11" s="95" t="n">
        <v>10</v>
      </c>
      <c r="I11" s="64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</row>
    <row r="12">
      <c r="A12" s="59" t="n"/>
      <c r="B12" s="96" t="n">
        <v>2</v>
      </c>
      <c r="C12" s="97" t="inlineStr">
        <is>
          <t>Iteration 1 - Login</t>
        </is>
      </c>
      <c r="D12" s="183">
        <f>Login_TC!B6</f>
        <v/>
      </c>
      <c r="E12" s="183">
        <f>Login_TC!C6</f>
        <v/>
      </c>
      <c r="F12" s="183">
        <f>Login_TC!D6</f>
        <v/>
      </c>
      <c r="G12" s="183">
        <f>Login_TC!E6</f>
        <v/>
      </c>
      <c r="H12" s="184" t="n">
        <v>4</v>
      </c>
      <c r="I12" s="64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 ht="12.75" customHeight="1" s="165">
      <c r="A13" s="59" t="n"/>
      <c r="B13" s="228" t="n">
        <v>3</v>
      </c>
      <c r="C13" s="182" t="inlineStr">
        <is>
          <t>Iteration 2 - Logout</t>
        </is>
      </c>
      <c r="D13" s="183">
        <f>Logout_TC!B6</f>
        <v/>
      </c>
      <c r="E13" s="183">
        <f>Logout_TC!C6</f>
        <v/>
      </c>
      <c r="F13" s="183">
        <f>Logout_TC!D6</f>
        <v/>
      </c>
      <c r="G13" s="183">
        <f>Logout_TC!E6</f>
        <v/>
      </c>
      <c r="H13" s="184">
        <f>Logout_TC!B4</f>
        <v/>
      </c>
      <c r="I13" s="64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</row>
    <row r="14" ht="12.75" customHeight="1" s="165">
      <c r="A14" s="86" t="n"/>
      <c r="B14" s="229" t="n">
        <v>4</v>
      </c>
      <c r="C14" s="186" t="inlineStr">
        <is>
          <t>Iteration 2 - Request Password Reset</t>
        </is>
      </c>
      <c r="D14" s="187">
        <f>RequestReset_TC!B6</f>
        <v/>
      </c>
      <c r="E14" s="187">
        <f>RequestReset_TC!C6</f>
        <v/>
      </c>
      <c r="F14" s="187">
        <f>RequestReset_TC!D6</f>
        <v/>
      </c>
      <c r="G14" s="187">
        <f>RequestReset_TC!E6</f>
        <v/>
      </c>
      <c r="H14" s="188">
        <f>RequestReset_TC!B4</f>
        <v/>
      </c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</row>
    <row r="15" ht="12.75" customHeight="1" s="165">
      <c r="A15" s="10" t="n"/>
      <c r="B15" s="228" t="n">
        <v>5</v>
      </c>
      <c r="C15" s="182" t="inlineStr">
        <is>
          <t>Iteration 2 - Reset Password</t>
        </is>
      </c>
      <c r="D15" s="189">
        <f>ResetPassword_TC!B6</f>
        <v/>
      </c>
      <c r="E15" s="190">
        <f>ResetPassword_TC!C6</f>
        <v/>
      </c>
      <c r="F15" s="190">
        <f>ResetPassword_TC!D6</f>
        <v/>
      </c>
      <c r="G15" s="190">
        <f>ResetPassword_TC!E6</f>
        <v/>
      </c>
      <c r="H15" s="191">
        <f>ResetPassword_TC!B4</f>
        <v/>
      </c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</row>
    <row r="16" ht="12.75" customHeight="1" s="165">
      <c r="A16" s="10" t="n"/>
      <c r="B16" s="228" t="n">
        <v>6</v>
      </c>
      <c r="C16" s="182" t="inlineStr">
        <is>
          <t>Iteration 2 - Change Password</t>
        </is>
      </c>
      <c r="D16" s="183">
        <f>ChangePassword_TC!B6</f>
        <v/>
      </c>
      <c r="E16" s="192">
        <f>ChangePassword_TC!C6</f>
        <v/>
      </c>
      <c r="F16" s="183">
        <f>ChangePassword_TC!D6</f>
        <v/>
      </c>
      <c r="G16" s="183">
        <f>ChangePassword_TC!E6</f>
        <v/>
      </c>
      <c r="H16" s="184">
        <f>ChangePassword_TC!B4</f>
        <v/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</row>
    <row r="17" ht="12.75" customHeight="1" s="165">
      <c r="A17" s="10" t="n"/>
      <c r="B17" s="228" t="n">
        <v>7</v>
      </c>
      <c r="C17" s="182" t="inlineStr">
        <is>
          <t>Iteration 2 - Update Personal Profile</t>
        </is>
      </c>
      <c r="D17" s="183">
        <f>UpdateProfile_TC!B6</f>
        <v/>
      </c>
      <c r="E17" s="192">
        <f>UpdateProfile_TC!C6</f>
        <v/>
      </c>
      <c r="F17" s="183">
        <f>UpdateProfile_TC!D6</f>
        <v/>
      </c>
      <c r="G17" s="183">
        <f>UpdateProfile_TC!E6</f>
        <v/>
      </c>
      <c r="H17" s="184">
        <f>UpdateProfile_TC!B4</f>
        <v/>
      </c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</row>
    <row r="18" ht="12.75" customHeight="1" s="165">
      <c r="A18" s="10" t="n"/>
      <c r="B18" s="228" t="n">
        <v>8</v>
      </c>
      <c r="C18" s="182" t="inlineStr">
        <is>
          <t>Iteration 2 - View Personal Profile</t>
        </is>
      </c>
      <c r="D18" s="183">
        <f>ViewProfile_TC!B6</f>
        <v/>
      </c>
      <c r="E18" s="183">
        <f>ViewProfile_TC!C6</f>
        <v/>
      </c>
      <c r="F18" s="183">
        <f>ViewProfile_TC!D6</f>
        <v/>
      </c>
      <c r="G18" s="183">
        <f>ViewProfile_TC!E6</f>
        <v/>
      </c>
      <c r="H18" s="184">
        <f>ViewProfile_TC!B4</f>
        <v/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</row>
    <row r="19" ht="12.75" customHeight="1" s="165">
      <c r="A19" s="10" t="n"/>
      <c r="B19" s="228" t="n">
        <v>9</v>
      </c>
      <c r="C19" s="182" t="inlineStr">
        <is>
          <t>Iteration 2 - View Account List</t>
        </is>
      </c>
      <c r="D19" s="183">
        <f>ViewAccountList_TC!B6</f>
        <v/>
      </c>
      <c r="E19" s="183">
        <f>ViewAccountList_TC!C6</f>
        <v/>
      </c>
      <c r="F19" s="183">
        <f>ViewAccountList_TC!D6</f>
        <v/>
      </c>
      <c r="G19" s="183">
        <f>ViewAccountList_TC!E6</f>
        <v/>
      </c>
      <c r="H19" s="184">
        <f>ViewAccountList_TC!B4</f>
        <v/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 ht="12.75" customHeight="1" s="165">
      <c r="A20" s="10" t="n"/>
      <c r="B20" s="228" t="n">
        <v>10</v>
      </c>
      <c r="C20" s="182" t="inlineStr">
        <is>
          <t>Iteration 2 - Change Account Status</t>
        </is>
      </c>
      <c r="D20" s="183">
        <f>ChangeStatus_TC!B6</f>
        <v/>
      </c>
      <c r="E20" s="183">
        <f>ChangeStatus_TC!C6</f>
        <v/>
      </c>
      <c r="F20" s="183">
        <f>ChangeStatus_TC!D6</f>
        <v/>
      </c>
      <c r="G20" s="183">
        <f>ChangeStatus_TC!E6</f>
        <v/>
      </c>
      <c r="H20" s="184">
        <f>ChangeStatus_TC!B4</f>
        <v/>
      </c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 ht="12.75" customHeight="1" s="165">
      <c r="A21" s="10" t="n"/>
      <c r="B21" s="228" t="n">
        <v>11</v>
      </c>
      <c r="C21" s="182" t="inlineStr">
        <is>
          <t>Iteration 2 - Change Account Role</t>
        </is>
      </c>
      <c r="D21" s="183">
        <f>ChangeRole_TC!B6</f>
        <v/>
      </c>
      <c r="E21" s="183">
        <f>ChangeRole_TC!C6</f>
        <v/>
      </c>
      <c r="F21" s="183">
        <f>ChangeRole_TC!D6</f>
        <v/>
      </c>
      <c r="G21" s="183">
        <f>ChangeRole_TC!E6</f>
        <v/>
      </c>
      <c r="H21" s="184">
        <f>ChangeRole_TC!B4</f>
        <v/>
      </c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 ht="12.75" customHeight="1" s="165">
      <c r="A22" s="10" t="n"/>
      <c r="B22" s="228" t="n">
        <v>12</v>
      </c>
      <c r="C22" s="182" t="inlineStr">
        <is>
          <t>Iteration 2 - Add New User Account</t>
        </is>
      </c>
      <c r="D22" s="183">
        <f>AddAccount_TC!B6</f>
        <v/>
      </c>
      <c r="E22" s="183">
        <f>AddAccount_TC!C6</f>
        <v/>
      </c>
      <c r="F22" s="183">
        <f>AddAccount_TC!D6</f>
        <v/>
      </c>
      <c r="G22" s="183">
        <f>AddAccount_TC!E6</f>
        <v/>
      </c>
      <c r="H22" s="184">
        <f>AddAccount_TC!B4</f>
        <v/>
      </c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 ht="12.75" customHeight="1" s="165">
      <c r="A23" s="10" t="n"/>
      <c r="B23" s="228" t="n">
        <v>13</v>
      </c>
      <c r="C23" s="182" t="inlineStr">
        <is>
          <t>Iteration 2 - View Account Detail</t>
        </is>
      </c>
      <c r="D23" s="183">
        <f>ViewDetail_TC!B6</f>
        <v/>
      </c>
      <c r="E23" s="183">
        <f>ViewDetail_TC!C6</f>
        <v/>
      </c>
      <c r="F23" s="183">
        <f>ViewDetail_TC!D6</f>
        <v/>
      </c>
      <c r="G23" s="183">
        <f>ViewDetail_TC!E6</f>
        <v/>
      </c>
      <c r="H23" s="184">
        <f>ViewDetail_TC!B4</f>
        <v/>
      </c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 ht="12.75" customHeight="1" s="165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 ht="12.75" customHeight="1" s="165">
      <c r="A25" s="10" t="n"/>
      <c r="B25" s="10" t="n"/>
      <c r="C25" s="186" t="inlineStr">
        <is>
          <t>Sub total</t>
        </is>
      </c>
      <c r="D25" s="187">
        <f>SUM(D11:D23)</f>
        <v/>
      </c>
      <c r="E25" s="187">
        <f>SUM(E11:E23)</f>
        <v/>
      </c>
      <c r="F25" s="187">
        <f>SUM(F11:F23)</f>
        <v/>
      </c>
      <c r="G25" s="187">
        <f>SUM(G11:G23)</f>
        <v/>
      </c>
      <c r="H25" s="188">
        <f>SUM(H11:H23)</f>
        <v/>
      </c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 ht="12.75" customHeight="1" s="165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 ht="12.75" customHeight="1" s="165">
      <c r="A27" s="10" t="n"/>
      <c r="B27" s="10" t="n"/>
      <c r="C27" s="193" t="inlineStr">
        <is>
          <t>Test coverage</t>
        </is>
      </c>
      <c r="D27" s="194" t="n"/>
      <c r="E27" s="194">
        <f>(D25+E25)*100/(H25-G25)</f>
        <v/>
      </c>
      <c r="F27" s="194" t="inlineStr">
        <is>
          <t>%</t>
        </is>
      </c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 ht="12.75" customHeight="1" s="165">
      <c r="A28" s="10" t="n"/>
      <c r="B28" s="10" t="n"/>
      <c r="C28" s="193" t="inlineStr">
        <is>
          <t>Test successful coverage</t>
        </is>
      </c>
      <c r="D28" s="194" t="n"/>
      <c r="E28" s="194">
        <f>D25*100/(H25-G25)</f>
        <v/>
      </c>
      <c r="F28" s="194" t="inlineStr">
        <is>
          <t>%</t>
        </is>
      </c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 ht="12.75" customHeight="1" s="165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 ht="12.75" customHeight="1" s="165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 ht="12.75" customHeight="1" s="165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 ht="12.75" customHeight="1" s="165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 ht="12.75" customHeight="1" s="165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 ht="12.75" customHeight="1" s="165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 ht="12.75" customHeight="1" s="16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 ht="12.75" customHeight="1" s="165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 ht="12.75" customHeight="1" s="165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 ht="12.75" customHeight="1" s="165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 ht="12.75" customHeight="1" s="165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 ht="12.75" customHeight="1" s="165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 ht="12.75" customHeight="1" s="165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 ht="12.75" customHeight="1" s="165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 ht="12.75" customHeight="1" s="165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 ht="12.75" customHeight="1" s="165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 ht="12.75" customHeight="1" s="16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 ht="12.75" customHeight="1" s="165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 ht="12.75" customHeight="1" s="165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 ht="12.75" customHeight="1" s="165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 ht="12.75" customHeight="1" s="165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 ht="12.75" customHeight="1" s="165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 ht="12.75" customHeight="1" s="165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 ht="12.75" customHeight="1" s="165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 ht="12.75" customHeight="1" s="165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 ht="12.75" customHeight="1" s="165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 ht="12.75" customHeight="1" s="16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 ht="12.75" customHeight="1" s="165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 ht="12.75" customHeight="1" s="165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 ht="12.75" customHeight="1" s="165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 ht="12.75" customHeight="1" s="165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 ht="12.75" customHeight="1" s="165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 ht="12.75" customHeight="1" s="165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 ht="12.75" customHeight="1" s="165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 ht="12.75" customHeight="1" s="165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 ht="12.75" customHeight="1" s="165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 ht="12.75" customHeight="1" s="1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 ht="12.75" customHeight="1" s="165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 ht="12.75" customHeight="1" s="165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 ht="12.75" customHeight="1" s="165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 ht="12.75" customHeight="1" s="165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 ht="12.75" customHeight="1" s="165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 ht="12.75" customHeight="1" s="165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 ht="12.75" customHeight="1" s="165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 ht="12.75" customHeight="1" s="165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 ht="12.75" customHeight="1" s="165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 ht="12.75" customHeight="1" s="16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 ht="12.75" customHeight="1" s="165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 ht="12.75" customHeight="1" s="165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 ht="12.75" customHeight="1" s="165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 ht="12.75" customHeight="1" s="165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 ht="12.75" customHeight="1" s="165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 ht="12.75" customHeight="1" s="165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 ht="12.75" customHeight="1" s="165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 ht="12.75" customHeight="1" s="165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 ht="12.75" customHeight="1" s="165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 ht="12.75" customHeight="1" s="16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 ht="12.75" customHeight="1" s="165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 ht="12.75" customHeight="1" s="165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 ht="12.75" customHeight="1" s="165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 ht="12.75" customHeight="1" s="165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 ht="12.75" customHeight="1" s="165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 ht="12.75" customHeight="1" s="165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 ht="12.75" customHeight="1" s="165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 ht="12.75" customHeight="1" s="165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 ht="12.75" customHeight="1" s="165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 ht="12.75" customHeight="1" s="16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 ht="12.75" customHeight="1" s="165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 ht="12.75" customHeight="1" s="165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 ht="12.75" customHeight="1" s="165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 ht="12.75" customHeight="1" s="165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 ht="12.75" customHeight="1" s="165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 ht="12.75" customHeight="1" s="165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 ht="12.75" customHeight="1" s="165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 ht="12.75" customHeight="1" s="165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 ht="12.75" customHeight="1" s="165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 ht="12.75" customHeight="1" s="16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 ht="12.75" customHeight="1" s="165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 ht="12.75" customHeight="1" s="165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 ht="12.75" customHeight="1" s="165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 ht="12.75" customHeight="1" s="165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 ht="12.75" customHeight="1" s="165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 ht="12.75" customHeight="1" s="165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 ht="12.75" customHeight="1" s="165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 ht="12.75" customHeight="1" s="165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 ht="12.75" customHeight="1" s="165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 ht="12.75" customHeight="1" s="16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 ht="12.75" customHeight="1" s="165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 ht="12.75" customHeight="1" s="165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 ht="12.75" customHeight="1" s="165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 ht="12.75" customHeight="1" s="165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 ht="12.75" customHeight="1" s="165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 ht="12.75" customHeight="1" s="165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 ht="12.75" customHeight="1" s="165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 ht="12.75" customHeight="1" s="165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 ht="12.75" customHeight="1" s="165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 ht="12.75" customHeight="1" s="16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 ht="12.75" customHeight="1" s="165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 ht="12.75" customHeight="1" s="165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 ht="12.75" customHeight="1" s="165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 ht="12.75" customHeight="1" s="165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 ht="12.75" customHeight="1" s="165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 ht="12.75" customHeight="1" s="165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 ht="12.75" customHeight="1" s="165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 ht="12.75" customHeight="1" s="165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 ht="12.75" customHeight="1" s="165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 ht="12.75" customHeight="1" s="16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 ht="12.75" customHeight="1" s="165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 ht="12.75" customHeight="1" s="165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 ht="12.75" customHeight="1" s="165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 ht="12.75" customHeight="1" s="165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 ht="12.75" customHeight="1" s="165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 ht="12.75" customHeight="1" s="165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 ht="12.75" customHeight="1" s="165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 ht="12.75" customHeight="1" s="165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 ht="12.75" customHeight="1" s="165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 ht="12.75" customHeight="1" s="16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 ht="12.75" customHeight="1" s="165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 ht="12.75" customHeight="1" s="165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 ht="12.75" customHeight="1" s="165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 ht="12.75" customHeight="1" s="165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 ht="12.75" customHeight="1" s="165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 ht="12.75" customHeight="1" s="165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 ht="12.75" customHeight="1" s="165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 ht="12.75" customHeight="1" s="165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 ht="12.75" customHeight="1" s="165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 ht="12.75" customHeight="1" s="16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 ht="12.75" customHeight="1" s="165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 ht="12.75" customHeight="1" s="165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 ht="12.75" customHeight="1" s="165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 ht="12.75" customHeight="1" s="165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 ht="12.75" customHeight="1" s="165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 ht="12.75" customHeight="1" s="165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 ht="12.75" customHeight="1" s="165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 ht="12.75" customHeight="1" s="165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 ht="12.75" customHeight="1" s="165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 ht="12.75" customHeight="1" s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 ht="12.75" customHeight="1" s="165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 ht="12.75" customHeight="1" s="165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 ht="12.75" customHeight="1" s="165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 ht="12.75" customHeight="1" s="165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 ht="12.75" customHeight="1" s="165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 ht="12.75" customHeight="1" s="165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 ht="12.75" customHeight="1" s="165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 ht="12.75" customHeight="1" s="165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 ht="12.75" customHeight="1" s="165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 ht="12.75" customHeight="1" s="16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 ht="12.75" customHeight="1" s="165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 ht="12.75" customHeight="1" s="165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 ht="12.75" customHeight="1" s="165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 ht="12.75" customHeight="1" s="165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 ht="12.75" customHeight="1" s="165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 ht="12.75" customHeight="1" s="165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 ht="12.75" customHeight="1" s="165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 ht="12.75" customHeight="1" s="165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 ht="12.75" customHeight="1" s="165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 ht="12.75" customHeight="1" s="16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 ht="12.75" customHeight="1" s="165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 ht="12.75" customHeight="1" s="165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 ht="12.75" customHeight="1" s="165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 ht="12.75" customHeight="1" s="165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 ht="12.75" customHeight="1" s="165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 ht="12.75" customHeight="1" s="165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 ht="12.75" customHeight="1" s="165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 ht="12.75" customHeight="1" s="165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 ht="12.75" customHeight="1" s="165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 ht="12.75" customHeight="1" s="16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 ht="12.75" customHeight="1" s="165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 ht="12.75" customHeight="1" s="165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 ht="12.75" customHeight="1" s="165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 ht="12.75" customHeight="1" s="165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 ht="12.75" customHeight="1" s="165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 ht="12.75" customHeight="1" s="165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 ht="12.75" customHeight="1" s="165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 ht="12.75" customHeight="1" s="165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 ht="12.75" customHeight="1" s="165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 ht="12.75" customHeight="1" s="16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 ht="12.75" customHeight="1" s="165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 ht="12.75" customHeight="1" s="165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 ht="12.75" customHeight="1" s="165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 ht="12.75" customHeight="1" s="165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 ht="12.75" customHeight="1" s="165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 ht="12.75" customHeight="1" s="165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 ht="12.75" customHeight="1" s="165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 ht="12.75" customHeight="1" s="165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 ht="12.75" customHeight="1" s="165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 ht="12.75" customHeight="1" s="16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</row>
    <row r="216" ht="12.75" customHeight="1" s="165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</row>
    <row r="217" ht="12.75" customHeight="1" s="165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</row>
    <row r="218" ht="12.75" customHeight="1" s="165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</row>
    <row r="219" ht="12.75" customHeight="1" s="165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</row>
    <row r="220" ht="12.75" customHeight="1" s="165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</row>
    <row r="221" ht="15.75" customHeight="1" s="165"/>
    <row r="222" ht="15.75" customHeight="1" s="165"/>
    <row r="223" ht="15.75" customHeight="1" s="165"/>
    <row r="224" ht="15.75" customHeight="1" s="165"/>
    <row r="225" ht="15.75" customHeight="1" s="165"/>
    <row r="226" ht="15.75" customHeight="1" s="165"/>
    <row r="227" ht="15.75" customHeight="1" s="165"/>
    <row r="228" ht="15.75" customHeight="1" s="165"/>
    <row r="229" ht="15.75" customHeight="1" s="165"/>
    <row r="230" ht="15.75" customHeight="1" s="165"/>
    <row r="231" ht="15.75" customHeight="1" s="165"/>
    <row r="232" ht="15.75" customHeight="1" s="165"/>
    <row r="233" ht="15.75" customHeight="1" s="165"/>
    <row r="234" ht="15.75" customHeight="1" s="165"/>
    <row r="235" ht="15.75" customHeight="1" s="165"/>
    <row r="236" ht="15.75" customHeight="1" s="165"/>
    <row r="237" ht="15.75" customHeight="1" s="165"/>
    <row r="238" ht="15.75" customHeight="1" s="165"/>
    <row r="239" ht="15.75" customHeight="1" s="165"/>
    <row r="240" ht="15.75" customHeight="1" s="165"/>
    <row r="241" ht="15.75" customHeight="1" s="165"/>
    <row r="242" ht="15.75" customHeight="1" s="165"/>
    <row r="243" ht="15.75" customHeight="1" s="165"/>
    <row r="244" ht="15.75" customHeight="1" s="165"/>
    <row r="245" ht="15.75" customHeight="1" s="165"/>
    <row r="246" ht="15.75" customHeight="1" s="165"/>
    <row r="247" ht="15.75" customHeight="1" s="165"/>
    <row r="248" ht="15.75" customHeight="1" s="165"/>
    <row r="249" ht="15.75" customHeight="1" s="165"/>
    <row r="250" ht="15.75" customHeight="1" s="165"/>
    <row r="251" ht="15.75" customHeight="1" s="165"/>
    <row r="252" ht="15.75" customHeight="1" s="165"/>
    <row r="253" ht="15.75" customHeight="1" s="165"/>
    <row r="254" ht="15.75" customHeight="1" s="165"/>
    <row r="255" ht="15.75" customHeight="1" s="165"/>
    <row r="256" ht="15.75" customHeight="1" s="165"/>
    <row r="257" ht="15.75" customHeight="1" s="165"/>
    <row r="258" ht="15.75" customHeight="1" s="165"/>
    <row r="259" ht="15.75" customHeight="1" s="165"/>
    <row r="260" ht="15.75" customHeight="1" s="165"/>
    <row r="261" ht="15.75" customHeight="1" s="165"/>
    <row r="262" ht="15.75" customHeight="1" s="165"/>
    <row r="263" ht="15.75" customHeight="1" s="165"/>
    <row r="264" ht="15.75" customHeight="1" s="165"/>
    <row r="265" ht="15.75" customHeight="1" s="165"/>
    <row r="266" ht="15.75" customHeight="1" s="165"/>
    <row r="267" ht="15.75" customHeight="1" s="165"/>
    <row r="268" ht="15.75" customHeight="1" s="165"/>
    <row r="269" ht="15.75" customHeight="1" s="165"/>
    <row r="270" ht="15.75" customHeight="1" s="165"/>
    <row r="271" ht="15.75" customHeight="1" s="165"/>
    <row r="272" ht="15.75" customHeight="1" s="165"/>
    <row r="273" ht="15.75" customHeight="1" s="165"/>
    <row r="274" ht="15.75" customHeight="1" s="165"/>
    <row r="275" ht="15.75" customHeight="1" s="165"/>
    <row r="276" ht="15.75" customHeight="1" s="165"/>
    <row r="277" ht="15.75" customHeight="1" s="165"/>
    <row r="278" ht="15.75" customHeight="1" s="165"/>
    <row r="279" ht="15.75" customHeight="1" s="165"/>
    <row r="280" ht="15.75" customHeight="1" s="165"/>
    <row r="281" ht="15.75" customHeight="1" s="165"/>
    <row r="282" ht="15.75" customHeight="1" s="165"/>
    <row r="283" ht="15.75" customHeight="1" s="165"/>
    <row r="284" ht="15.75" customHeight="1" s="165"/>
    <row r="285" ht="15.75" customHeight="1" s="165"/>
    <row r="286" ht="15.75" customHeight="1" s="165"/>
    <row r="287" ht="15.75" customHeight="1" s="165"/>
    <row r="288" ht="15.75" customHeight="1" s="165"/>
    <row r="289" ht="15.75" customHeight="1" s="165"/>
    <row r="290" ht="15.75" customHeight="1" s="165"/>
    <row r="291" ht="15.75" customHeight="1" s="165"/>
    <row r="292" ht="15.75" customHeight="1" s="165"/>
    <row r="293" ht="15.75" customHeight="1" s="165"/>
    <row r="294" ht="15.75" customHeight="1" s="165"/>
    <row r="295" ht="15.75" customHeight="1" s="165"/>
    <row r="296" ht="15.75" customHeight="1" s="165"/>
    <row r="297" ht="15.75" customHeight="1" s="165"/>
    <row r="298" ht="15.75" customHeight="1" s="165"/>
    <row r="299" ht="15.75" customHeight="1" s="165"/>
    <row r="300" ht="15.75" customHeight="1" s="165"/>
    <row r="301" ht="15.75" customHeight="1" s="165"/>
    <row r="302" ht="15.75" customHeight="1" s="165"/>
    <row r="303" ht="15.75" customHeight="1" s="165"/>
    <row r="304" ht="15.75" customHeight="1" s="165"/>
    <row r="305" ht="15.75" customHeight="1" s="165"/>
    <row r="306" ht="15.75" customHeight="1" s="165"/>
    <row r="307" ht="15.75" customHeight="1" s="165"/>
    <row r="308" ht="15.75" customHeight="1" s="165"/>
    <row r="309" ht="15.75" customHeight="1" s="165"/>
    <row r="310" ht="15.75" customHeight="1" s="165"/>
    <row r="311" ht="15.75" customHeight="1" s="165"/>
    <row r="312" ht="15.75" customHeight="1" s="165"/>
    <row r="313" ht="15.75" customHeight="1" s="165"/>
    <row r="314" ht="15.75" customHeight="1" s="165"/>
    <row r="315" ht="15.75" customHeight="1" s="165"/>
    <row r="316" ht="15.75" customHeight="1" s="165"/>
    <row r="317" ht="15.75" customHeight="1" s="165"/>
    <row r="318" ht="15.75" customHeight="1" s="165"/>
    <row r="319" ht="15.75" customHeight="1" s="165"/>
    <row r="320" ht="15.75" customHeight="1" s="165"/>
    <row r="321" ht="15.75" customHeight="1" s="165"/>
    <row r="322" ht="15.75" customHeight="1" s="165"/>
    <row r="323" ht="15.75" customHeight="1" s="165"/>
    <row r="324" ht="15.75" customHeight="1" s="165"/>
    <row r="325" ht="15.75" customHeight="1" s="165"/>
    <row r="326" ht="15.75" customHeight="1" s="165"/>
    <row r="327" ht="15.75" customHeight="1" s="165"/>
    <row r="328" ht="15.75" customHeight="1" s="165"/>
    <row r="329" ht="15.75" customHeight="1" s="165"/>
    <row r="330" ht="15.75" customHeight="1" s="165"/>
    <row r="331" ht="15.75" customHeight="1" s="165"/>
    <row r="332" ht="15.75" customHeight="1" s="165"/>
    <row r="333" ht="15.75" customHeight="1" s="165"/>
    <row r="334" ht="15.75" customHeight="1" s="165"/>
    <row r="335" ht="15.75" customHeight="1" s="165"/>
    <row r="336" ht="15.75" customHeight="1" s="165"/>
    <row r="337" ht="15.75" customHeight="1" s="165"/>
    <row r="338" ht="15.75" customHeight="1" s="165"/>
    <row r="339" ht="15.75" customHeight="1" s="165"/>
    <row r="340" ht="15.75" customHeight="1" s="165"/>
    <row r="341" ht="15.75" customHeight="1" s="165"/>
    <row r="342" ht="15.75" customHeight="1" s="165"/>
    <row r="343" ht="15.75" customHeight="1" s="165"/>
    <row r="344" ht="15.75" customHeight="1" s="165"/>
    <row r="345" ht="15.75" customHeight="1" s="165"/>
    <row r="346" ht="15.75" customHeight="1" s="165"/>
    <row r="347" ht="15.75" customHeight="1" s="165"/>
    <row r="348" ht="15.75" customHeight="1" s="165"/>
    <row r="349" ht="15.75" customHeight="1" s="165"/>
    <row r="350" ht="15.75" customHeight="1" s="165"/>
    <row r="351" ht="15.75" customHeight="1" s="165"/>
    <row r="352" ht="15.75" customHeight="1" s="165"/>
    <row r="353" ht="15.75" customHeight="1" s="165"/>
    <row r="354" ht="15.75" customHeight="1" s="165"/>
    <row r="355" ht="15.75" customHeight="1" s="165"/>
    <row r="356" ht="15.75" customHeight="1" s="165"/>
    <row r="357" ht="15.75" customHeight="1" s="165"/>
    <row r="358" ht="15.75" customHeight="1" s="165"/>
    <row r="359" ht="15.75" customHeight="1" s="165"/>
    <row r="360" ht="15.75" customHeight="1" s="165"/>
    <row r="361" ht="15.75" customHeight="1" s="165"/>
    <row r="362" ht="15.75" customHeight="1" s="165"/>
    <row r="363" ht="15.75" customHeight="1" s="165"/>
    <row r="364" ht="15.75" customHeight="1" s="165"/>
    <row r="365" ht="15.75" customHeight="1" s="165"/>
    <row r="366" ht="15.75" customHeight="1" s="165"/>
    <row r="367" ht="15.75" customHeight="1" s="165"/>
    <row r="368" ht="15.75" customHeight="1" s="165"/>
    <row r="369" ht="15.75" customHeight="1" s="165"/>
    <row r="370" ht="15.75" customHeight="1" s="165"/>
    <row r="371" ht="15.75" customHeight="1" s="165"/>
    <row r="372" ht="15.75" customHeight="1" s="165"/>
    <row r="373" ht="15.75" customHeight="1" s="165"/>
    <row r="374" ht="15.75" customHeight="1" s="165"/>
    <row r="375" ht="15.75" customHeight="1" s="165"/>
    <row r="376" ht="15.75" customHeight="1" s="165"/>
    <row r="377" ht="15.75" customHeight="1" s="165"/>
    <row r="378" ht="15.75" customHeight="1" s="165"/>
    <row r="379" ht="15.75" customHeight="1" s="165"/>
    <row r="380" ht="15.75" customHeight="1" s="165"/>
    <row r="381" ht="15.75" customHeight="1" s="165"/>
    <row r="382" ht="15.75" customHeight="1" s="165"/>
    <row r="383" ht="15.75" customHeight="1" s="165"/>
    <row r="384" ht="15.75" customHeight="1" s="165"/>
    <row r="385" ht="15.75" customHeight="1" s="165"/>
    <row r="386" ht="15.75" customHeight="1" s="165"/>
    <row r="387" ht="15.75" customHeight="1" s="165"/>
    <row r="388" ht="15.75" customHeight="1" s="165"/>
    <row r="389" ht="15.75" customHeight="1" s="165"/>
    <row r="390" ht="15.75" customHeight="1" s="165"/>
    <row r="391" ht="15.75" customHeight="1" s="165"/>
    <row r="392" ht="15.75" customHeight="1" s="165"/>
    <row r="393" ht="15.75" customHeight="1" s="165"/>
    <row r="394" ht="15.75" customHeight="1" s="165"/>
    <row r="395" ht="15.75" customHeight="1" s="165"/>
    <row r="396" ht="15.75" customHeight="1" s="165"/>
    <row r="397" ht="15.75" customHeight="1" s="165"/>
    <row r="398" ht="15.75" customHeight="1" s="165"/>
    <row r="399" ht="15.75" customHeight="1" s="165"/>
    <row r="400" ht="15.75" customHeight="1" s="165"/>
    <row r="401" ht="15.75" customHeight="1" s="165"/>
    <row r="402" ht="15.75" customHeight="1" s="165"/>
    <row r="403" ht="15.75" customHeight="1" s="165"/>
    <row r="404" ht="15.75" customHeight="1" s="165"/>
    <row r="405" ht="15.75" customHeight="1" s="165"/>
    <row r="406" ht="15.75" customHeight="1" s="165"/>
    <row r="407" ht="15.75" customHeight="1" s="165"/>
    <row r="408" ht="15.75" customHeight="1" s="165"/>
    <row r="409" ht="15.75" customHeight="1" s="165"/>
    <row r="410" ht="15.75" customHeight="1" s="165"/>
    <row r="411" ht="15.75" customHeight="1" s="165"/>
    <row r="412" ht="15.75" customHeight="1" s="165"/>
    <row r="413" ht="15.75" customHeight="1" s="165"/>
    <row r="414" ht="15.75" customHeight="1" s="165"/>
    <row r="415" ht="15.75" customHeight="1" s="165"/>
    <row r="416" ht="15.75" customHeight="1" s="165"/>
    <row r="417" ht="15.75" customHeight="1" s="165"/>
    <row r="418" ht="15.75" customHeight="1" s="165"/>
    <row r="419" ht="15.75" customHeight="1" s="165"/>
    <row r="420" ht="15.75" customHeight="1" s="165"/>
    <row r="421" ht="15.75" customHeight="1" s="165"/>
    <row r="422" ht="15.75" customHeight="1" s="165"/>
    <row r="423" ht="15.75" customHeight="1" s="165"/>
    <row r="424" ht="15.75" customHeight="1" s="165"/>
    <row r="425" ht="15.75" customHeight="1" s="165"/>
    <row r="426" ht="15.75" customHeight="1" s="165"/>
    <row r="427" ht="15.75" customHeight="1" s="165"/>
    <row r="428" ht="15.75" customHeight="1" s="165"/>
    <row r="429" ht="15.75" customHeight="1" s="165"/>
    <row r="430" ht="15.75" customHeight="1" s="165"/>
    <row r="431" ht="15.75" customHeight="1" s="165"/>
    <row r="432" ht="15.75" customHeight="1" s="165"/>
    <row r="433" ht="15.75" customHeight="1" s="165"/>
    <row r="434" ht="15.75" customHeight="1" s="165"/>
    <row r="435" ht="15.75" customHeight="1" s="165"/>
    <row r="436" ht="15.75" customHeight="1" s="165"/>
    <row r="437" ht="15.75" customHeight="1" s="165"/>
    <row r="438" ht="15.75" customHeight="1" s="165"/>
    <row r="439" ht="15.75" customHeight="1" s="165"/>
    <row r="440" ht="15.75" customHeight="1" s="165"/>
    <row r="441" ht="15.75" customHeight="1" s="165"/>
    <row r="442" ht="15.75" customHeight="1" s="165"/>
    <row r="443" ht="15.75" customHeight="1" s="165"/>
    <row r="444" ht="15.75" customHeight="1" s="165"/>
    <row r="445" ht="15.75" customHeight="1" s="165"/>
    <row r="446" ht="15.75" customHeight="1" s="165"/>
    <row r="447" ht="15.75" customHeight="1" s="165"/>
    <row r="448" ht="15.75" customHeight="1" s="165"/>
    <row r="449" ht="15.75" customHeight="1" s="165"/>
    <row r="450" ht="15.75" customHeight="1" s="165"/>
    <row r="451" ht="15.75" customHeight="1" s="165"/>
    <row r="452" ht="15.75" customHeight="1" s="165"/>
    <row r="453" ht="15.75" customHeight="1" s="165"/>
    <row r="454" ht="15.75" customHeight="1" s="165"/>
    <row r="455" ht="15.75" customHeight="1" s="165"/>
    <row r="456" ht="15.75" customHeight="1" s="165"/>
    <row r="457" ht="15.75" customHeight="1" s="165"/>
    <row r="458" ht="15.75" customHeight="1" s="165"/>
    <row r="459" ht="15.75" customHeight="1" s="165"/>
    <row r="460" ht="15.75" customHeight="1" s="165"/>
    <row r="461" ht="15.75" customHeight="1" s="165"/>
    <row r="462" ht="15.75" customHeight="1" s="165"/>
    <row r="463" ht="15.75" customHeight="1" s="165"/>
    <row r="464" ht="15.75" customHeight="1" s="165"/>
    <row r="465" ht="15.75" customHeight="1" s="165"/>
    <row r="466" ht="15.75" customHeight="1" s="165"/>
    <row r="467" ht="15.75" customHeight="1" s="165"/>
    <row r="468" ht="15.75" customHeight="1" s="165"/>
    <row r="469" ht="15.75" customHeight="1" s="165"/>
    <row r="470" ht="15.75" customHeight="1" s="165"/>
    <row r="471" ht="15.75" customHeight="1" s="165"/>
    <row r="472" ht="15.75" customHeight="1" s="165"/>
    <row r="473" ht="15.75" customHeight="1" s="165"/>
    <row r="474" ht="15.75" customHeight="1" s="165"/>
    <row r="475" ht="15.75" customHeight="1" s="165"/>
    <row r="476" ht="15.75" customHeight="1" s="165"/>
    <row r="477" ht="15.75" customHeight="1" s="165"/>
    <row r="478" ht="15.75" customHeight="1" s="165"/>
    <row r="479" ht="15.75" customHeight="1" s="165"/>
    <row r="480" ht="15.75" customHeight="1" s="165"/>
    <row r="481" ht="15.75" customHeight="1" s="165"/>
    <row r="482" ht="15.75" customHeight="1" s="165"/>
    <row r="483" ht="15.75" customHeight="1" s="165"/>
    <row r="484" ht="15.75" customHeight="1" s="165"/>
    <row r="485" ht="15.75" customHeight="1" s="165"/>
    <row r="486" ht="15.75" customHeight="1" s="165"/>
    <row r="487" ht="15.75" customHeight="1" s="165"/>
    <row r="488" ht="15.75" customHeight="1" s="165"/>
    <row r="489" ht="15.75" customHeight="1" s="165"/>
    <row r="490" ht="15.75" customHeight="1" s="165"/>
    <row r="491" ht="15.75" customHeight="1" s="165"/>
    <row r="492" ht="15.75" customHeight="1" s="165"/>
    <row r="493" ht="15.75" customHeight="1" s="165"/>
    <row r="494" ht="15.75" customHeight="1" s="165"/>
    <row r="495" ht="15.75" customHeight="1" s="165"/>
    <row r="496" ht="15.75" customHeight="1" s="165"/>
    <row r="497" ht="15.75" customHeight="1" s="165"/>
    <row r="498" ht="15.75" customHeight="1" s="165"/>
    <row r="499" ht="15.75" customHeight="1" s="165"/>
    <row r="500" ht="15.75" customHeight="1" s="165"/>
    <row r="501" ht="15.75" customHeight="1" s="165"/>
    <row r="502" ht="15.75" customHeight="1" s="165"/>
    <row r="503" ht="15.75" customHeight="1" s="165"/>
    <row r="504" ht="15.75" customHeight="1" s="165"/>
    <row r="505" ht="15.75" customHeight="1" s="165"/>
    <row r="506" ht="15.75" customHeight="1" s="165"/>
    <row r="507" ht="15.75" customHeight="1" s="165"/>
    <row r="508" ht="15.75" customHeight="1" s="165"/>
    <row r="509" ht="15.75" customHeight="1" s="165"/>
    <row r="510" ht="15.75" customHeight="1" s="165"/>
    <row r="511" ht="15.75" customHeight="1" s="165"/>
    <row r="512" ht="15.75" customHeight="1" s="165"/>
    <row r="513" ht="15.75" customHeight="1" s="165"/>
    <row r="514" ht="15.75" customHeight="1" s="165"/>
    <row r="515" ht="15.75" customHeight="1" s="165"/>
    <row r="516" ht="15.75" customHeight="1" s="165"/>
    <row r="517" ht="15.75" customHeight="1" s="165"/>
    <row r="518" ht="15.75" customHeight="1" s="165"/>
    <row r="519" ht="15.75" customHeight="1" s="165"/>
    <row r="520" ht="15.75" customHeight="1" s="165"/>
    <row r="521" ht="15.75" customHeight="1" s="165"/>
    <row r="522" ht="15.75" customHeight="1" s="165"/>
    <row r="523" ht="15.75" customHeight="1" s="165"/>
    <row r="524" ht="15.75" customHeight="1" s="165"/>
    <row r="525" ht="15.75" customHeight="1" s="165"/>
    <row r="526" ht="15.75" customHeight="1" s="165"/>
    <row r="527" ht="15.75" customHeight="1" s="165"/>
    <row r="528" ht="15.75" customHeight="1" s="165"/>
    <row r="529" ht="15.75" customHeight="1" s="165"/>
    <row r="530" ht="15.75" customHeight="1" s="165"/>
    <row r="531" ht="15.75" customHeight="1" s="165"/>
    <row r="532" ht="15.75" customHeight="1" s="165"/>
    <row r="533" ht="15.75" customHeight="1" s="165"/>
    <row r="534" ht="15.75" customHeight="1" s="165"/>
    <row r="535" ht="15.75" customHeight="1" s="165"/>
    <row r="536" ht="15.75" customHeight="1" s="165"/>
    <row r="537" ht="15.75" customHeight="1" s="165"/>
    <row r="538" ht="15.75" customHeight="1" s="165"/>
    <row r="539" ht="15.75" customHeight="1" s="165"/>
    <row r="540" ht="15.75" customHeight="1" s="165"/>
    <row r="541" ht="15.75" customHeight="1" s="165"/>
    <row r="542" ht="15.75" customHeight="1" s="165"/>
    <row r="543" ht="15.75" customHeight="1" s="165"/>
    <row r="544" ht="15.75" customHeight="1" s="165"/>
    <row r="545" ht="15.75" customHeight="1" s="165"/>
    <row r="546" ht="15.75" customHeight="1" s="165"/>
    <row r="547" ht="15.75" customHeight="1" s="165"/>
    <row r="548" ht="15.75" customHeight="1" s="165"/>
    <row r="549" ht="15.75" customHeight="1" s="165"/>
    <row r="550" ht="15.75" customHeight="1" s="165"/>
    <row r="551" ht="15.75" customHeight="1" s="165"/>
    <row r="552" ht="15.75" customHeight="1" s="165"/>
    <row r="553" ht="15.75" customHeight="1" s="165"/>
    <row r="554" ht="15.75" customHeight="1" s="165"/>
    <row r="555" ht="15.75" customHeight="1" s="165"/>
    <row r="556" ht="15.75" customHeight="1" s="165"/>
    <row r="557" ht="15.75" customHeight="1" s="165"/>
    <row r="558" ht="15.75" customHeight="1" s="165"/>
    <row r="559" ht="15.75" customHeight="1" s="165"/>
    <row r="560" ht="15.75" customHeight="1" s="165"/>
    <row r="561" ht="15.75" customHeight="1" s="165"/>
    <row r="562" ht="15.75" customHeight="1" s="165"/>
    <row r="563" ht="15.75" customHeight="1" s="165"/>
    <row r="564" ht="15.75" customHeight="1" s="165"/>
    <row r="565" ht="15.75" customHeight="1" s="165"/>
    <row r="566" ht="15.75" customHeight="1" s="165"/>
    <row r="567" ht="15.75" customHeight="1" s="165"/>
    <row r="568" ht="15.75" customHeight="1" s="165"/>
    <row r="569" ht="15.75" customHeight="1" s="165"/>
    <row r="570" ht="15.75" customHeight="1" s="165"/>
    <row r="571" ht="15.75" customHeight="1" s="165"/>
    <row r="572" ht="15.75" customHeight="1" s="165"/>
    <row r="573" ht="15.75" customHeight="1" s="165"/>
    <row r="574" ht="15.75" customHeight="1" s="165"/>
    <row r="575" ht="15.75" customHeight="1" s="165"/>
    <row r="576" ht="15.75" customHeight="1" s="165"/>
    <row r="577" ht="15.75" customHeight="1" s="165"/>
    <row r="578" ht="15.75" customHeight="1" s="165"/>
    <row r="579" ht="15.75" customHeight="1" s="165"/>
    <row r="580" ht="15.75" customHeight="1" s="165"/>
    <row r="581" ht="15.75" customHeight="1" s="165"/>
    <row r="582" ht="15.75" customHeight="1" s="165"/>
    <row r="583" ht="15.75" customHeight="1" s="165"/>
    <row r="584" ht="15.75" customHeight="1" s="165"/>
    <row r="585" ht="15.75" customHeight="1" s="165"/>
    <row r="586" ht="15.75" customHeight="1" s="165"/>
    <row r="587" ht="15.75" customHeight="1" s="165"/>
    <row r="588" ht="15.75" customHeight="1" s="165"/>
    <row r="589" ht="15.75" customHeight="1" s="165"/>
    <row r="590" ht="15.75" customHeight="1" s="165"/>
    <row r="591" ht="15.75" customHeight="1" s="165"/>
    <row r="592" ht="15.75" customHeight="1" s="165"/>
    <row r="593" ht="15.75" customHeight="1" s="165"/>
    <row r="594" ht="15.75" customHeight="1" s="165"/>
    <row r="595" ht="15.75" customHeight="1" s="165"/>
    <row r="596" ht="15.75" customHeight="1" s="165"/>
    <row r="597" ht="15.75" customHeight="1" s="165"/>
    <row r="598" ht="15.75" customHeight="1" s="165"/>
    <row r="599" ht="15.75" customHeight="1" s="165"/>
    <row r="600" ht="15.75" customHeight="1" s="165"/>
    <row r="601" ht="15.75" customHeight="1" s="165"/>
    <row r="602" ht="15.75" customHeight="1" s="165"/>
    <row r="603" ht="15.75" customHeight="1" s="165"/>
    <row r="604" ht="15.75" customHeight="1" s="165"/>
    <row r="605" ht="15.75" customHeight="1" s="165"/>
    <row r="606" ht="15.75" customHeight="1" s="165"/>
    <row r="607" ht="15.75" customHeight="1" s="165"/>
    <row r="608" ht="15.75" customHeight="1" s="165"/>
    <row r="609" ht="15.75" customHeight="1" s="165"/>
    <row r="610" ht="15.75" customHeight="1" s="165"/>
    <row r="611" ht="15.75" customHeight="1" s="165"/>
    <row r="612" ht="15.75" customHeight="1" s="165"/>
    <row r="613" ht="15.75" customHeight="1" s="165"/>
    <row r="614" ht="15.75" customHeight="1" s="165"/>
    <row r="615" ht="15.75" customHeight="1" s="165"/>
    <row r="616" ht="15.75" customHeight="1" s="165"/>
    <row r="617" ht="15.75" customHeight="1" s="165"/>
    <row r="618" ht="15.75" customHeight="1" s="165"/>
    <row r="619" ht="15.75" customHeight="1" s="165"/>
    <row r="620" ht="15.75" customHeight="1" s="165"/>
    <row r="621" ht="15.75" customHeight="1" s="165"/>
    <row r="622" ht="15.75" customHeight="1" s="165"/>
    <row r="623" ht="15.75" customHeight="1" s="165"/>
    <row r="624" ht="15.75" customHeight="1" s="165"/>
    <row r="625" ht="15.75" customHeight="1" s="165"/>
    <row r="626" ht="15.75" customHeight="1" s="165"/>
    <row r="627" ht="15.75" customHeight="1" s="165"/>
    <row r="628" ht="15.75" customHeight="1" s="165"/>
    <row r="629" ht="15.75" customHeight="1" s="165"/>
    <row r="630" ht="15.75" customHeight="1" s="165"/>
    <row r="631" ht="15.75" customHeight="1" s="165"/>
    <row r="632" ht="15.75" customHeight="1" s="165"/>
    <row r="633" ht="15.75" customHeight="1" s="165"/>
    <row r="634" ht="15.75" customHeight="1" s="165"/>
    <row r="635" ht="15.75" customHeight="1" s="165"/>
    <row r="636" ht="15.75" customHeight="1" s="165"/>
    <row r="637" ht="15.75" customHeight="1" s="165"/>
    <row r="638" ht="15.75" customHeight="1" s="165"/>
    <row r="639" ht="15.75" customHeight="1" s="165"/>
    <row r="640" ht="15.75" customHeight="1" s="165"/>
    <row r="641" ht="15.75" customHeight="1" s="165"/>
    <row r="642" ht="15.75" customHeight="1" s="165"/>
    <row r="643" ht="15.75" customHeight="1" s="165"/>
    <row r="644" ht="15.75" customHeight="1" s="165"/>
    <row r="645" ht="15.75" customHeight="1" s="165"/>
    <row r="646" ht="15.75" customHeight="1" s="165"/>
    <row r="647" ht="15.75" customHeight="1" s="165"/>
    <row r="648" ht="15.75" customHeight="1" s="165"/>
    <row r="649" ht="15.75" customHeight="1" s="165"/>
    <row r="650" ht="15.75" customHeight="1" s="165"/>
    <row r="651" ht="15.75" customHeight="1" s="165"/>
    <row r="652" ht="15.75" customHeight="1" s="165"/>
    <row r="653" ht="15.75" customHeight="1" s="165"/>
    <row r="654" ht="15.75" customHeight="1" s="165"/>
    <row r="655" ht="15.75" customHeight="1" s="165"/>
    <row r="656" ht="15.75" customHeight="1" s="165"/>
    <row r="657" ht="15.75" customHeight="1" s="165"/>
    <row r="658" ht="15.75" customHeight="1" s="165"/>
    <row r="659" ht="15.75" customHeight="1" s="165"/>
    <row r="660" ht="15.75" customHeight="1" s="165"/>
    <row r="661" ht="15.75" customHeight="1" s="165"/>
    <row r="662" ht="15.75" customHeight="1" s="165"/>
    <row r="663" ht="15.75" customHeight="1" s="165"/>
    <row r="664" ht="15.75" customHeight="1" s="165"/>
    <row r="665" ht="15.75" customHeight="1" s="165"/>
    <row r="666" ht="15.75" customHeight="1" s="165"/>
    <row r="667" ht="15.75" customHeight="1" s="165"/>
    <row r="668" ht="15.75" customHeight="1" s="165"/>
    <row r="669" ht="15.75" customHeight="1" s="165"/>
    <row r="670" ht="15.75" customHeight="1" s="165"/>
    <row r="671" ht="15.75" customHeight="1" s="165"/>
    <row r="672" ht="15.75" customHeight="1" s="165"/>
    <row r="673" ht="15.75" customHeight="1" s="165"/>
    <row r="674" ht="15.75" customHeight="1" s="165"/>
    <row r="675" ht="15.75" customHeight="1" s="165"/>
    <row r="676" ht="15.75" customHeight="1" s="165"/>
    <row r="677" ht="15.75" customHeight="1" s="165"/>
    <row r="678" ht="15.75" customHeight="1" s="165"/>
    <row r="679" ht="15.75" customHeight="1" s="165"/>
    <row r="680" ht="15.75" customHeight="1" s="165"/>
    <row r="681" ht="15.75" customHeight="1" s="165"/>
    <row r="682" ht="15.75" customHeight="1" s="165"/>
    <row r="683" ht="15.75" customHeight="1" s="165"/>
    <row r="684" ht="15.75" customHeight="1" s="165"/>
    <row r="685" ht="15.75" customHeight="1" s="165"/>
    <row r="686" ht="15.75" customHeight="1" s="165"/>
    <row r="687" ht="15.75" customHeight="1" s="165"/>
    <row r="688" ht="15.75" customHeight="1" s="165"/>
    <row r="689" ht="15.75" customHeight="1" s="165"/>
    <row r="690" ht="15.75" customHeight="1" s="165"/>
    <row r="691" ht="15.75" customHeight="1" s="165"/>
    <row r="692" ht="15.75" customHeight="1" s="165"/>
    <row r="693" ht="15.75" customHeight="1" s="165"/>
    <row r="694" ht="15.75" customHeight="1" s="165"/>
    <row r="695" ht="15.75" customHeight="1" s="165"/>
    <row r="696" ht="15.75" customHeight="1" s="165"/>
    <row r="697" ht="15.75" customHeight="1" s="165"/>
    <row r="698" ht="15.75" customHeight="1" s="165"/>
    <row r="699" ht="15.75" customHeight="1" s="165"/>
    <row r="700" ht="15.75" customHeight="1" s="165"/>
    <row r="701" ht="15.75" customHeight="1" s="165"/>
    <row r="702" ht="15.75" customHeight="1" s="165"/>
    <row r="703" ht="15.75" customHeight="1" s="165"/>
    <row r="704" ht="15.75" customHeight="1" s="165"/>
    <row r="705" ht="15.75" customHeight="1" s="165"/>
    <row r="706" ht="15.75" customHeight="1" s="165"/>
    <row r="707" ht="15.75" customHeight="1" s="165"/>
    <row r="708" ht="15.75" customHeight="1" s="165"/>
    <row r="709" ht="15.75" customHeight="1" s="165"/>
    <row r="710" ht="15.75" customHeight="1" s="165"/>
    <row r="711" ht="15.75" customHeight="1" s="165"/>
    <row r="712" ht="15.75" customHeight="1" s="165"/>
    <row r="713" ht="15.75" customHeight="1" s="165"/>
    <row r="714" ht="15.75" customHeight="1" s="165"/>
    <row r="715" ht="15.75" customHeight="1" s="165"/>
    <row r="716" ht="15.75" customHeight="1" s="165"/>
    <row r="717" ht="15.75" customHeight="1" s="165"/>
    <row r="718" ht="15.75" customHeight="1" s="165"/>
    <row r="719" ht="15.75" customHeight="1" s="165"/>
    <row r="720" ht="15.75" customHeight="1" s="165"/>
    <row r="721" ht="15.75" customHeight="1" s="165"/>
    <row r="722" ht="15.75" customHeight="1" s="165"/>
    <row r="723" ht="15.75" customHeight="1" s="165"/>
    <row r="724" ht="15.75" customHeight="1" s="165"/>
    <row r="725" ht="15.75" customHeight="1" s="165"/>
    <row r="726" ht="15.75" customHeight="1" s="165"/>
    <row r="727" ht="15.75" customHeight="1" s="165"/>
    <row r="728" ht="15.75" customHeight="1" s="165"/>
    <row r="729" ht="15.75" customHeight="1" s="165"/>
    <row r="730" ht="15.75" customHeight="1" s="165"/>
    <row r="731" ht="15.75" customHeight="1" s="165"/>
    <row r="732" ht="15.75" customHeight="1" s="165"/>
    <row r="733" ht="15.75" customHeight="1" s="165"/>
    <row r="734" ht="15.75" customHeight="1" s="165"/>
    <row r="735" ht="15.75" customHeight="1" s="165"/>
    <row r="736" ht="15.75" customHeight="1" s="165"/>
    <row r="737" ht="15.75" customHeight="1" s="165"/>
    <row r="738" ht="15.75" customHeight="1" s="165"/>
    <row r="739" ht="15.75" customHeight="1" s="165"/>
    <row r="740" ht="15.75" customHeight="1" s="165"/>
    <row r="741" ht="15.75" customHeight="1" s="165"/>
    <row r="742" ht="15.75" customHeight="1" s="165"/>
    <row r="743" ht="15.75" customHeight="1" s="165"/>
    <row r="744" ht="15.75" customHeight="1" s="165"/>
    <row r="745" ht="15.75" customHeight="1" s="165"/>
    <row r="746" ht="15.75" customHeight="1" s="165"/>
    <row r="747" ht="15.75" customHeight="1" s="165"/>
    <row r="748" ht="15.75" customHeight="1" s="165"/>
    <row r="749" ht="15.75" customHeight="1" s="165"/>
    <row r="750" ht="15.75" customHeight="1" s="165"/>
    <row r="751" ht="15.75" customHeight="1" s="165"/>
    <row r="752" ht="15.75" customHeight="1" s="165"/>
    <row r="753" ht="15.75" customHeight="1" s="165"/>
    <row r="754" ht="15.75" customHeight="1" s="165"/>
    <row r="755" ht="15.75" customHeight="1" s="165"/>
    <row r="756" ht="15.75" customHeight="1" s="165"/>
    <row r="757" ht="15.75" customHeight="1" s="165"/>
    <row r="758" ht="15.75" customHeight="1" s="165"/>
    <row r="759" ht="15.75" customHeight="1" s="165"/>
    <row r="760" ht="15.75" customHeight="1" s="165"/>
    <row r="761" ht="15.75" customHeight="1" s="165"/>
    <row r="762" ht="15.75" customHeight="1" s="165"/>
    <row r="763" ht="15.75" customHeight="1" s="165"/>
    <row r="764" ht="15.75" customHeight="1" s="165"/>
    <row r="765" ht="15.75" customHeight="1" s="165"/>
    <row r="766" ht="15.75" customHeight="1" s="165"/>
    <row r="767" ht="15.75" customHeight="1" s="165"/>
    <row r="768" ht="15.75" customHeight="1" s="165"/>
    <row r="769" ht="15.75" customHeight="1" s="165"/>
    <row r="770" ht="15.75" customHeight="1" s="165"/>
    <row r="771" ht="15.75" customHeight="1" s="165"/>
    <row r="772" ht="15.75" customHeight="1" s="165"/>
    <row r="773" ht="15.75" customHeight="1" s="165"/>
    <row r="774" ht="15.75" customHeight="1" s="165"/>
    <row r="775" ht="15.75" customHeight="1" s="165"/>
    <row r="776" ht="15.75" customHeight="1" s="165"/>
    <row r="777" ht="15.75" customHeight="1" s="165"/>
    <row r="778" ht="15.75" customHeight="1" s="165"/>
    <row r="779" ht="15.75" customHeight="1" s="165"/>
    <row r="780" ht="15.75" customHeight="1" s="165"/>
    <row r="781" ht="15.75" customHeight="1" s="165"/>
    <row r="782" ht="15.75" customHeight="1" s="165"/>
    <row r="783" ht="15.75" customHeight="1" s="165"/>
    <row r="784" ht="15.75" customHeight="1" s="165"/>
    <row r="785" ht="15.75" customHeight="1" s="165"/>
    <row r="786" ht="15.75" customHeight="1" s="165"/>
    <row r="787" ht="15.75" customHeight="1" s="165"/>
    <row r="788" ht="15.75" customHeight="1" s="165"/>
    <row r="789" ht="15.75" customHeight="1" s="165"/>
    <row r="790" ht="15.75" customHeight="1" s="165"/>
    <row r="791" ht="15.75" customHeight="1" s="165"/>
    <row r="792" ht="15.75" customHeight="1" s="165"/>
    <row r="793" ht="15.75" customHeight="1" s="165"/>
    <row r="794" ht="15.75" customHeight="1" s="165"/>
    <row r="795" ht="15.75" customHeight="1" s="165"/>
    <row r="796" ht="15.75" customHeight="1" s="165"/>
    <row r="797" ht="15.75" customHeight="1" s="165"/>
    <row r="798" ht="15.75" customHeight="1" s="165"/>
    <row r="799" ht="15.75" customHeight="1" s="165"/>
    <row r="800" ht="15.75" customHeight="1" s="165"/>
    <row r="801" ht="15.75" customHeight="1" s="165"/>
    <row r="802" ht="15.75" customHeight="1" s="165"/>
    <row r="803" ht="15.75" customHeight="1" s="165"/>
    <row r="804" ht="15.75" customHeight="1" s="165"/>
    <row r="805" ht="15.75" customHeight="1" s="165"/>
    <row r="806" ht="15.75" customHeight="1" s="165"/>
    <row r="807" ht="15.75" customHeight="1" s="165"/>
    <row r="808" ht="15.75" customHeight="1" s="165"/>
    <row r="809" ht="15.75" customHeight="1" s="165"/>
    <row r="810" ht="15.75" customHeight="1" s="165"/>
    <row r="811" ht="15.75" customHeight="1" s="165"/>
    <row r="812" ht="15.75" customHeight="1" s="165"/>
    <row r="813" ht="15.75" customHeight="1" s="165"/>
    <row r="814" ht="15.75" customHeight="1" s="165"/>
    <row r="815" ht="15.75" customHeight="1" s="165"/>
    <row r="816" ht="15.75" customHeight="1" s="165"/>
    <row r="817" ht="15.75" customHeight="1" s="165"/>
    <row r="818" ht="15.75" customHeight="1" s="165"/>
    <row r="819" ht="15.75" customHeight="1" s="165"/>
    <row r="820" ht="15.75" customHeight="1" s="165"/>
    <row r="821" ht="15.75" customHeight="1" s="165"/>
    <row r="822" ht="15.75" customHeight="1" s="165"/>
    <row r="823" ht="15.75" customHeight="1" s="165"/>
    <row r="824" ht="15.75" customHeight="1" s="165"/>
    <row r="825" ht="15.75" customHeight="1" s="165"/>
    <row r="826" ht="15.75" customHeight="1" s="165"/>
    <row r="827" ht="15.75" customHeight="1" s="165"/>
    <row r="828" ht="15.75" customHeight="1" s="165"/>
    <row r="829" ht="15.75" customHeight="1" s="165"/>
    <row r="830" ht="15.75" customHeight="1" s="165"/>
    <row r="831" ht="15.75" customHeight="1" s="165"/>
    <row r="832" ht="15.75" customHeight="1" s="165"/>
    <row r="833" ht="15.75" customHeight="1" s="165"/>
    <row r="834" ht="15.75" customHeight="1" s="165"/>
    <row r="835" ht="15.75" customHeight="1" s="165"/>
    <row r="836" ht="15.75" customHeight="1" s="165"/>
    <row r="837" ht="15.75" customHeight="1" s="165"/>
    <row r="838" ht="15.75" customHeight="1" s="165"/>
    <row r="839" ht="15.75" customHeight="1" s="165"/>
    <row r="840" ht="15.75" customHeight="1" s="165"/>
    <row r="841" ht="15.75" customHeight="1" s="165"/>
    <row r="842" ht="15.75" customHeight="1" s="165"/>
    <row r="843" ht="15.75" customHeight="1" s="165"/>
    <row r="844" ht="15.75" customHeight="1" s="165"/>
    <row r="845" ht="15.75" customHeight="1" s="165"/>
    <row r="846" ht="15.75" customHeight="1" s="165"/>
    <row r="847" ht="15.75" customHeight="1" s="165"/>
    <row r="848" ht="15.75" customHeight="1" s="165"/>
    <row r="849" ht="15.75" customHeight="1" s="165"/>
    <row r="850" ht="15.75" customHeight="1" s="165"/>
    <row r="851" ht="15.75" customHeight="1" s="165"/>
    <row r="852" ht="15.75" customHeight="1" s="165"/>
    <row r="853" ht="15.75" customHeight="1" s="165"/>
    <row r="854" ht="15.75" customHeight="1" s="165"/>
    <row r="855" ht="15.75" customHeight="1" s="165"/>
    <row r="856" ht="15.75" customHeight="1" s="165"/>
    <row r="857" ht="15.75" customHeight="1" s="165"/>
    <row r="858" ht="15.75" customHeight="1" s="165"/>
    <row r="859" ht="15.75" customHeight="1" s="165"/>
    <row r="860" ht="15.75" customHeight="1" s="165"/>
    <row r="861" ht="15.75" customHeight="1" s="165"/>
    <row r="862" ht="15.75" customHeight="1" s="165"/>
    <row r="863" ht="15.75" customHeight="1" s="165"/>
    <row r="864" ht="15.75" customHeight="1" s="165"/>
    <row r="865" ht="15.75" customHeight="1" s="165"/>
    <row r="866" ht="15.75" customHeight="1" s="165"/>
    <row r="867" ht="15.75" customHeight="1" s="165"/>
    <row r="868" ht="15.75" customHeight="1" s="165"/>
    <row r="869" ht="15.75" customHeight="1" s="165"/>
    <row r="870" ht="15.75" customHeight="1" s="165"/>
    <row r="871" ht="15.75" customHeight="1" s="165"/>
    <row r="872" ht="15.75" customHeight="1" s="165"/>
    <row r="873" ht="15.75" customHeight="1" s="165"/>
    <row r="874" ht="15.75" customHeight="1" s="165"/>
    <row r="875" ht="15.75" customHeight="1" s="165"/>
    <row r="876" ht="15.75" customHeight="1" s="165"/>
    <row r="877" ht="15.75" customHeight="1" s="165"/>
    <row r="878" ht="15.75" customHeight="1" s="165"/>
    <row r="879" ht="15.75" customHeight="1" s="165"/>
    <row r="880" ht="15.75" customHeight="1" s="165"/>
    <row r="881" ht="15.75" customHeight="1" s="165"/>
    <row r="882" ht="15.75" customHeight="1" s="165"/>
    <row r="883" ht="15.75" customHeight="1" s="165"/>
    <row r="884" ht="15.75" customHeight="1" s="165"/>
    <row r="885" ht="15.75" customHeight="1" s="165"/>
    <row r="886" ht="15.75" customHeight="1" s="165"/>
    <row r="887" ht="15.75" customHeight="1" s="165"/>
    <row r="888" ht="15.75" customHeight="1" s="165"/>
    <row r="889" ht="15.75" customHeight="1" s="165"/>
    <row r="890" ht="15.75" customHeight="1" s="165"/>
    <row r="891" ht="15.75" customHeight="1" s="165"/>
    <row r="892" ht="15.75" customHeight="1" s="165"/>
    <row r="893" ht="15.75" customHeight="1" s="165"/>
    <row r="894" ht="15.75" customHeight="1" s="165"/>
    <row r="895" ht="15.75" customHeight="1" s="165"/>
    <row r="896" ht="15.75" customHeight="1" s="165"/>
    <row r="897" ht="15.75" customHeight="1" s="165"/>
    <row r="898" ht="15.75" customHeight="1" s="165"/>
    <row r="899" ht="15.75" customHeight="1" s="165"/>
    <row r="900" ht="15.75" customHeight="1" s="165"/>
    <row r="901" ht="15.75" customHeight="1" s="165"/>
    <row r="902" ht="15.75" customHeight="1" s="165"/>
    <row r="903" ht="15.75" customHeight="1" s="165"/>
    <row r="904" ht="15.75" customHeight="1" s="165"/>
    <row r="905" ht="15.75" customHeight="1" s="165"/>
    <row r="906" ht="15.75" customHeight="1" s="165"/>
    <row r="907" ht="15.75" customHeight="1" s="165"/>
    <row r="908" ht="15.75" customHeight="1" s="165"/>
    <row r="909" ht="15.75" customHeight="1" s="165"/>
    <row r="910" ht="15.75" customHeight="1" s="165"/>
    <row r="911" ht="15.75" customHeight="1" s="165"/>
    <row r="912" ht="15.75" customHeight="1" s="165"/>
    <row r="913" ht="15.75" customHeight="1" s="165"/>
    <row r="914" ht="15.75" customHeight="1" s="165"/>
    <row r="915" ht="15.75" customHeight="1" s="165"/>
    <row r="916" ht="15.75" customHeight="1" s="165"/>
    <row r="917" ht="15.75" customHeight="1" s="165"/>
    <row r="918" ht="15.75" customHeight="1" s="165"/>
    <row r="919" ht="15.75" customHeight="1" s="165"/>
    <row r="920" ht="15.75" customHeight="1" s="165"/>
    <row r="921" ht="15.75" customHeight="1" s="165"/>
    <row r="922" ht="15.75" customHeight="1" s="165"/>
    <row r="923" ht="15.75" customHeight="1" s="165"/>
    <row r="924" ht="15.75" customHeight="1" s="165"/>
    <row r="925" ht="15.75" customHeight="1" s="165"/>
    <row r="926" ht="15.75" customHeight="1" s="165"/>
    <row r="927" ht="15.75" customHeight="1" s="165"/>
    <row r="928" ht="15.75" customHeight="1" s="165"/>
    <row r="929" ht="15.75" customHeight="1" s="165"/>
    <row r="930" ht="15.75" customHeight="1" s="165"/>
    <row r="931" ht="15.75" customHeight="1" s="165"/>
    <row r="932" ht="15.75" customHeight="1" s="165"/>
    <row r="933" ht="15.75" customHeight="1" s="165"/>
    <row r="934" ht="15.75" customHeight="1" s="165"/>
    <row r="935" ht="15.75" customHeight="1" s="165"/>
    <row r="936" ht="15.75" customHeight="1" s="165"/>
    <row r="937" ht="15.75" customHeight="1" s="165"/>
    <row r="938" ht="15.75" customHeight="1" s="165"/>
    <row r="939" ht="15.75" customHeight="1" s="165"/>
    <row r="940" ht="15.75" customHeight="1" s="165"/>
    <row r="941" ht="15.75" customHeight="1" s="165"/>
    <row r="942" ht="15.75" customHeight="1" s="165"/>
    <row r="943" ht="15.75" customHeight="1" s="165"/>
    <row r="944" ht="15.75" customHeight="1" s="165"/>
    <row r="945" ht="15.75" customHeight="1" s="165"/>
    <row r="946" ht="15.75" customHeight="1" s="165"/>
    <row r="947" ht="15.75" customHeight="1" s="165"/>
    <row r="948" ht="15.75" customHeight="1" s="165"/>
    <row r="949" ht="15.75" customHeight="1" s="165"/>
    <row r="950" ht="15.75" customHeight="1" s="165"/>
    <row r="951" ht="15.75" customHeight="1" s="165"/>
    <row r="952" ht="15.75" customHeight="1" s="165"/>
    <row r="953" ht="15.75" customHeight="1" s="165"/>
    <row r="954" ht="15.75" customHeight="1" s="165"/>
    <row r="955" ht="15.75" customHeight="1" s="165"/>
    <row r="956" ht="15.75" customHeight="1" s="165"/>
    <row r="957" ht="15.75" customHeight="1" s="165"/>
    <row r="958" ht="15.75" customHeight="1" s="165"/>
    <row r="959" ht="15.75" customHeight="1" s="165"/>
    <row r="960" ht="15.75" customHeight="1" s="165"/>
    <row r="961" ht="15.75" customHeight="1" s="165"/>
    <row r="962" ht="15.75" customHeight="1" s="165"/>
    <row r="963" ht="15.75" customHeight="1" s="165"/>
    <row r="964" ht="15.75" customHeight="1" s="165"/>
    <row r="965" ht="15.75" customHeight="1" s="165"/>
    <row r="966" ht="15.75" customHeight="1" s="165"/>
    <row r="967" ht="15.75" customHeight="1" s="165"/>
    <row r="968" ht="15.75" customHeight="1" s="165"/>
    <row r="969" ht="15.75" customHeight="1" s="165"/>
    <row r="970" ht="15.75" customHeight="1" s="165"/>
    <row r="971" ht="15.75" customHeight="1" s="165"/>
    <row r="972" ht="15.75" customHeight="1" s="165"/>
    <row r="973" ht="15.75" customHeight="1" s="165"/>
    <row r="974" ht="15.75" customHeight="1" s="165"/>
    <row r="975" ht="15.75" customHeight="1" s="165"/>
    <row r="976" ht="15.75" customHeight="1" s="165"/>
    <row r="977" ht="15.75" customHeight="1" s="165"/>
    <row r="978" ht="15.75" customHeight="1" s="165"/>
    <row r="979" ht="15.75" customHeight="1" s="165"/>
    <row r="980" ht="15.75" customHeight="1" s="165"/>
    <row r="981" ht="15.75" customHeight="1" s="165"/>
    <row r="982" ht="15.75" customHeight="1" s="165"/>
    <row r="983" ht="15.75" customHeight="1" s="165"/>
    <row r="984" ht="15.75" customHeight="1" s="165"/>
    <row r="985" ht="15.75" customHeight="1" s="165"/>
    <row r="986" ht="15.75" customHeight="1" s="165"/>
    <row r="987" ht="15.75" customHeight="1" s="165"/>
    <row r="988" ht="15.75" customHeight="1" s="165"/>
    <row r="989" ht="15.75" customHeight="1" s="165"/>
    <row r="990" ht="15.75" customHeight="1" s="165"/>
    <row r="991" ht="15.75" customHeight="1" s="165"/>
    <row r="992" ht="15.75" customHeight="1" s="165"/>
    <row r="993" ht="15.75" customHeight="1" s="165"/>
    <row r="994" ht="15.75" customHeight="1" s="165"/>
    <row r="995" ht="15.75" customHeight="1" s="165"/>
    <row r="996" ht="15.75" customHeight="1" s="165"/>
    <row r="997" ht="15.75" customHeight="1" s="165"/>
    <row r="998" ht="15.75" customHeight="1" s="165"/>
    <row r="999" ht="15.75" customHeight="1" s="165"/>
    <row r="1000" ht="15.75" customHeight="1" s="165"/>
  </sheetData>
  <mergeCells count="8">
    <mergeCell ref="E4:F4"/>
    <mergeCell ref="C6:H6"/>
    <mergeCell ref="B1:H1"/>
    <mergeCell ref="C5:D5"/>
    <mergeCell ref="E5:F5"/>
    <mergeCell ref="C3:D3"/>
    <mergeCell ref="E3:F3"/>
    <mergeCell ref="C4:D4"/>
  </mergeCells>
  <pageMargins left="0.7479166666666667" right="0.7479166666666667" top="0.9840277777777778" bottom="0.9840277777777777" header="0" footer="0"/>
  <pageSetup orientation="landscape"/>
  <headerFooter>
    <oddHeader/>
    <oddFooter>&amp;L 02ae-BM/PM/HDCV/FSOFT v2/0&amp;CInternal use&amp;R&amp;P/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30"/>
  <sheetViews>
    <sheetView workbookViewId="0">
      <pane ySplit="10" topLeftCell="A11" activePane="bottomLeft" state="frozen"/>
      <selection pane="bottomLeft" activeCell="B12" sqref="B12"/>
    </sheetView>
  </sheetViews>
  <sheetFormatPr baseColWidth="8" defaultColWidth="12.63" defaultRowHeight="15" customHeight="1" outlineLevelRow="1"/>
  <cols>
    <col width="27.5" customWidth="1" style="165" min="1" max="1"/>
    <col width="41.13" customWidth="1" style="165" min="2" max="2"/>
    <col width="90.38" customWidth="1" style="165" min="3" max="3"/>
    <col width="83.38" customWidth="1" style="165" min="4" max="4"/>
    <col width="43.25" customWidth="1" style="165" min="5" max="5"/>
    <col width="10" customWidth="1" style="165" min="6" max="6"/>
    <col outlineLevel="1" width="8.630000000000001" customWidth="1" style="165" min="7" max="7"/>
    <col outlineLevel="1" width="14.25" customWidth="1" style="165" min="8" max="8"/>
    <col width="6.38" customWidth="1" style="165" min="9" max="9"/>
    <col outlineLevel="1" width="4.75" customWidth="1" style="165" min="10" max="10"/>
    <col outlineLevel="1" width="5.5" customWidth="1" style="165" min="11" max="11"/>
    <col width="6.38" customWidth="1" style="165" min="12" max="12"/>
    <col outlineLevel="1" width="4.75" customWidth="1" style="165" min="13" max="13"/>
    <col outlineLevel="1" width="5.5" customWidth="1" style="165" min="14" max="14"/>
    <col width="34.38" customWidth="1" style="165" min="15" max="15"/>
    <col width="10.13" customWidth="1" style="165" min="16" max="16"/>
    <col width="8.130000000000001" customWidth="1" style="165" min="17" max="17"/>
    <col width="6.5" customWidth="1" style="165" min="18" max="18"/>
    <col width="9" customWidth="1" style="165" min="19" max="26"/>
    <col width="13" customWidth="1" style="165" min="20" max="20"/>
    <col width="13" customWidth="1" style="165" min="21" max="21"/>
    <col width="13" customWidth="1" style="165" min="22" max="22"/>
    <col width="13" customWidth="1" style="165" min="23" max="23"/>
    <col width="13" customWidth="1" style="165" min="24" max="24"/>
    <col width="13" customWidth="1" style="165" min="25" max="25"/>
    <col width="13" customWidth="1" style="165" min="26" max="26"/>
  </cols>
  <sheetData>
    <row r="1" ht="12.75" customHeight="1" s="165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5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5" customHeight="1" s="165">
      <c r="A2" s="200" t="inlineStr">
        <is>
          <t>Workflow</t>
        </is>
      </c>
      <c r="B2" s="201" t="inlineStr">
        <is>
          <t>Iteration 1 - Register Account</t>
        </is>
      </c>
      <c r="C2" s="196" t="n"/>
      <c r="D2" s="196" t="n"/>
      <c r="E2" s="197" t="n"/>
      <c r="F2" s="202" t="n"/>
      <c r="G2" s="203" t="n"/>
      <c r="H2" s="204" t="n"/>
      <c r="I2" s="202" t="n"/>
      <c r="J2" s="203" t="n"/>
      <c r="K2" s="204" t="n"/>
      <c r="L2" s="202" t="n"/>
      <c r="M2" s="203" t="n"/>
      <c r="N2" s="204" t="n"/>
      <c r="O2" s="204" t="n"/>
      <c r="P2" s="204" t="n"/>
      <c r="Q2" s="205" t="n"/>
      <c r="R2" s="122" t="inlineStr">
        <is>
          <t>Passed</t>
        </is>
      </c>
      <c r="S2" s="122" t="n"/>
      <c r="T2" s="122" t="n"/>
      <c r="U2" s="122" t="n"/>
      <c r="V2" s="122" t="n"/>
      <c r="W2" s="122" t="n"/>
      <c r="X2" s="122" t="n"/>
      <c r="Y2" s="122" t="n"/>
      <c r="Z2" s="122" t="n"/>
    </row>
    <row r="3" ht="12.75" customHeight="1" s="165">
      <c r="A3" s="206" t="inlineStr">
        <is>
          <t>Test requirement</t>
        </is>
      </c>
      <c r="B3" s="207" t="inlineStr">
        <is>
          <t>Verify all functional requirements for guest registration, including data validation and exception flows.</t>
        </is>
      </c>
      <c r="C3" s="167" t="n"/>
      <c r="D3" s="167" t="n"/>
      <c r="E3" s="199" t="n"/>
      <c r="F3" s="202" t="n"/>
      <c r="G3" s="203" t="n"/>
      <c r="H3" s="204" t="n"/>
      <c r="I3" s="202" t="n"/>
      <c r="J3" s="203" t="n"/>
      <c r="K3" s="204" t="n"/>
      <c r="L3" s="202" t="n"/>
      <c r="M3" s="203" t="n"/>
      <c r="N3" s="204" t="n"/>
      <c r="O3" s="204" t="n"/>
      <c r="P3" s="204" t="n"/>
      <c r="Q3" s="205" t="n"/>
      <c r="R3" s="122" t="inlineStr">
        <is>
          <t>Failed</t>
        </is>
      </c>
      <c r="S3" s="122" t="n"/>
      <c r="T3" s="122" t="n"/>
      <c r="U3" s="122" t="n"/>
      <c r="V3" s="122" t="n"/>
      <c r="W3" s="122" t="n"/>
      <c r="X3" s="122" t="n"/>
      <c r="Y3" s="122" t="n"/>
      <c r="Z3" s="122" t="n"/>
    </row>
    <row r="4" ht="18" customHeight="1" s="165">
      <c r="A4" s="206" t="inlineStr">
        <is>
          <t>Number of TCs</t>
        </is>
      </c>
      <c r="B4" s="207" t="n">
        <v>10</v>
      </c>
      <c r="C4" s="167" t="n"/>
      <c r="D4" s="167" t="n"/>
      <c r="E4" s="199" t="n"/>
      <c r="F4" s="202" t="n"/>
      <c r="G4" s="203" t="n"/>
      <c r="H4" s="204" t="n"/>
      <c r="I4" s="202" t="n"/>
      <c r="J4" s="203" t="n"/>
      <c r="K4" s="204" t="n"/>
      <c r="L4" s="202" t="n"/>
      <c r="M4" s="203" t="n"/>
      <c r="N4" s="204" t="n"/>
      <c r="O4" s="204" t="n"/>
      <c r="P4" s="204" t="n"/>
      <c r="Q4" s="205" t="n"/>
      <c r="R4" s="122" t="inlineStr">
        <is>
          <t>Pending</t>
        </is>
      </c>
      <c r="S4" s="122" t="n"/>
      <c r="T4" s="122" t="n"/>
      <c r="U4" s="122" t="n"/>
      <c r="V4" s="122" t="n"/>
      <c r="W4" s="122" t="n"/>
      <c r="X4" s="122" t="n"/>
      <c r="Y4" s="122" t="n"/>
      <c r="Z4" s="122" t="n"/>
    </row>
    <row r="5" ht="19.5" customHeight="1" s="165">
      <c r="A5" s="208" t="inlineStr">
        <is>
          <t>Testing Round</t>
        </is>
      </c>
      <c r="B5" s="209" t="inlineStr">
        <is>
          <t>Passed</t>
        </is>
      </c>
      <c r="C5" s="209" t="inlineStr">
        <is>
          <t>Failed</t>
        </is>
      </c>
      <c r="D5" s="209" t="inlineStr">
        <is>
          <t>Pending</t>
        </is>
      </c>
      <c r="E5" s="210" t="inlineStr">
        <is>
          <t>N/A</t>
        </is>
      </c>
      <c r="F5" s="211" t="n"/>
      <c r="G5" s="211" t="n"/>
      <c r="H5" s="194" t="n"/>
      <c r="I5" s="211" t="n"/>
      <c r="J5" s="211" t="n"/>
      <c r="K5" s="194" t="n"/>
      <c r="L5" s="211" t="n"/>
      <c r="M5" s="211" t="n"/>
      <c r="N5" s="194" t="n"/>
      <c r="O5" s="194" t="n"/>
      <c r="P5" s="194" t="n"/>
      <c r="Q5" s="212" t="n"/>
      <c r="R5" s="122" t="inlineStr">
        <is>
          <t>N/A</t>
        </is>
      </c>
      <c r="S5" s="122" t="n"/>
      <c r="T5" s="122" t="n"/>
      <c r="U5" s="122" t="n"/>
      <c r="V5" s="122" t="n"/>
      <c r="W5" s="122" t="n"/>
      <c r="X5" s="122" t="n"/>
      <c r="Y5" s="122" t="n"/>
      <c r="Z5" s="122" t="n"/>
    </row>
    <row r="6" ht="15" customHeight="1" s="165">
      <c r="A6" s="208" t="inlineStr">
        <is>
          <t>Round 1</t>
        </is>
      </c>
      <c r="B6" s="213">
        <f>COUNTIF($F10:$F907,B5)</f>
        <v/>
      </c>
      <c r="C6" s="213">
        <f>COUNTIF($F10:$F907,C5)</f>
        <v/>
      </c>
      <c r="D6" s="213">
        <f>COUNTIF($F10:$F907,D5)</f>
        <v/>
      </c>
      <c r="E6" s="214">
        <f>COUNTIF($F10:$F907,E5)</f>
        <v/>
      </c>
      <c r="F6" s="215" t="n"/>
      <c r="G6" s="215" t="n"/>
      <c r="H6" s="194" t="n"/>
      <c r="I6" s="215" t="n"/>
      <c r="J6" s="215" t="n"/>
      <c r="K6" s="194" t="n"/>
      <c r="L6" s="215" t="n"/>
      <c r="M6" s="215" t="n"/>
      <c r="N6" s="194" t="n"/>
      <c r="O6" s="194" t="n"/>
      <c r="P6" s="194" t="n"/>
      <c r="Q6" s="212" t="n"/>
      <c r="R6" s="122" t="n"/>
      <c r="S6" s="122" t="n"/>
      <c r="T6" s="122" t="n"/>
      <c r="U6" s="122" t="n"/>
      <c r="V6" s="122" t="n"/>
      <c r="W6" s="122" t="n"/>
      <c r="X6" s="122" t="n"/>
      <c r="Y6" s="122" t="n"/>
      <c r="Z6" s="122" t="n"/>
    </row>
    <row r="7" ht="15" customHeight="1" s="165">
      <c r="A7" s="208" t="inlineStr">
        <is>
          <t>Round 2</t>
        </is>
      </c>
      <c r="B7" s="213" t="n">
        <v>0</v>
      </c>
      <c r="C7" s="213">
        <f>COUNTIF($F10:$F907,C5)</f>
        <v/>
      </c>
      <c r="D7" s="213" t="n">
        <v>0</v>
      </c>
      <c r="E7" s="214" t="n">
        <v>8</v>
      </c>
      <c r="F7" s="215" t="n"/>
      <c r="G7" s="215" t="n"/>
      <c r="H7" s="194" t="n"/>
      <c r="I7" s="215" t="n"/>
      <c r="J7" s="215" t="n"/>
      <c r="K7" s="194" t="n"/>
      <c r="L7" s="215" t="n"/>
      <c r="M7" s="215" t="n"/>
      <c r="N7" s="194" t="n"/>
      <c r="O7" s="194" t="n"/>
      <c r="P7" s="194" t="n"/>
      <c r="Q7" s="212" t="n"/>
      <c r="R7" s="122" t="n"/>
      <c r="S7" s="122" t="n"/>
      <c r="T7" s="122" t="n"/>
      <c r="U7" s="122" t="n"/>
      <c r="V7" s="122" t="n"/>
      <c r="W7" s="122" t="n"/>
      <c r="X7" s="122" t="n"/>
      <c r="Y7" s="122" t="n"/>
      <c r="Z7" s="122" t="n"/>
    </row>
    <row r="8" ht="15" customHeight="1" s="165">
      <c r="A8" s="216" t="inlineStr">
        <is>
          <t>Round 3</t>
        </is>
      </c>
      <c r="B8" s="217" t="n">
        <v>0</v>
      </c>
      <c r="C8" s="217">
        <f>COUNTIF($F10:$F907,C5)</f>
        <v/>
      </c>
      <c r="D8" s="217" t="n">
        <v>0</v>
      </c>
      <c r="E8" s="218" t="n">
        <v>8</v>
      </c>
      <c r="F8" s="215" t="n"/>
      <c r="G8" s="215" t="n"/>
      <c r="H8" s="194" t="n"/>
      <c r="I8" s="215" t="n"/>
      <c r="J8" s="215" t="n"/>
      <c r="K8" s="194" t="n"/>
      <c r="L8" s="215" t="n"/>
      <c r="M8" s="215" t="n"/>
      <c r="N8" s="194" t="n"/>
      <c r="O8" s="194" t="n"/>
      <c r="P8" s="194" t="n"/>
      <c r="Q8" s="212" t="n"/>
      <c r="R8" s="122" t="n"/>
      <c r="S8" s="122" t="n"/>
      <c r="T8" s="122" t="n"/>
      <c r="U8" s="122" t="n"/>
      <c r="V8" s="122" t="n"/>
      <c r="W8" s="122" t="n"/>
      <c r="X8" s="122" t="n"/>
      <c r="Y8" s="122" t="n"/>
      <c r="Z8" s="122" t="n"/>
    </row>
    <row r="9" ht="15" customHeight="1" s="165">
      <c r="A9" s="194" t="n"/>
      <c r="B9" s="194" t="n"/>
      <c r="C9" s="194" t="n"/>
      <c r="D9" s="194" t="n"/>
      <c r="E9" s="194" t="n"/>
      <c r="F9" s="219" t="n"/>
      <c r="G9" s="194" t="n"/>
      <c r="H9" s="194" t="n"/>
      <c r="I9" s="219" t="n"/>
      <c r="J9" s="194" t="n"/>
      <c r="K9" s="194" t="n"/>
      <c r="L9" s="219" t="n"/>
      <c r="M9" s="194" t="n"/>
      <c r="N9" s="194" t="n"/>
      <c r="O9" s="194" t="n"/>
      <c r="P9" s="194" t="n"/>
      <c r="Q9" s="212" t="n"/>
      <c r="R9" s="122" t="n"/>
      <c r="S9" s="122" t="n"/>
      <c r="T9" s="122" t="n"/>
      <c r="U9" s="122" t="n"/>
      <c r="V9" s="122" t="n"/>
      <c r="W9" s="122" t="n"/>
      <c r="X9" s="122" t="n"/>
      <c r="Y9" s="122" t="n"/>
      <c r="Z9" s="122" t="n"/>
    </row>
    <row r="10" ht="25.5" customHeight="1" s="165">
      <c r="A10" s="220" t="inlineStr">
        <is>
          <t>Test Case ID</t>
        </is>
      </c>
      <c r="B10" s="220" t="inlineStr">
        <is>
          <t>Test Case Description</t>
        </is>
      </c>
      <c r="C10" s="220" t="inlineStr">
        <is>
          <t>Test Case Procedure</t>
        </is>
      </c>
      <c r="D10" s="220" t="inlineStr">
        <is>
          <t>Expected Results</t>
        </is>
      </c>
      <c r="E10" s="220" t="inlineStr">
        <is>
          <t>Pre-conditions</t>
        </is>
      </c>
      <c r="F10" s="220" t="inlineStr">
        <is>
          <t>Round 1</t>
        </is>
      </c>
      <c r="G10" s="220" t="inlineStr">
        <is>
          <t>Test date</t>
        </is>
      </c>
      <c r="H10" s="220" t="inlineStr">
        <is>
          <t>Tester</t>
        </is>
      </c>
      <c r="I10" s="220" t="inlineStr">
        <is>
          <t>Round 2</t>
        </is>
      </c>
      <c r="J10" s="220" t="inlineStr">
        <is>
          <t>Test date</t>
        </is>
      </c>
      <c r="K10" s="220" t="inlineStr">
        <is>
          <t>Tester</t>
        </is>
      </c>
      <c r="L10" s="220" t="inlineStr">
        <is>
          <t>Round 3</t>
        </is>
      </c>
      <c r="M10" s="220" t="inlineStr">
        <is>
          <t>Test date</t>
        </is>
      </c>
      <c r="N10" s="220" t="inlineStr">
        <is>
          <t>Tester</t>
        </is>
      </c>
      <c r="O10" s="220" t="inlineStr">
        <is>
          <t>Note</t>
        </is>
      </c>
      <c r="P10" s="122" t="n"/>
      <c r="Q10" s="221" t="n"/>
      <c r="R10" s="122" t="n"/>
      <c r="S10" s="122" t="n"/>
      <c r="T10" s="122" t="n"/>
      <c r="U10" s="122" t="n"/>
      <c r="V10" s="122" t="n"/>
      <c r="W10" s="122" t="n"/>
      <c r="X10" s="122" t="n"/>
      <c r="Y10" s="122" t="n"/>
      <c r="Z10" s="122" t="n"/>
    </row>
    <row r="11" ht="15.75" customHeight="1" s="165">
      <c r="A11" s="144" t="inlineStr">
        <is>
          <t>Scenario 1 - Successful Registration</t>
        </is>
      </c>
      <c r="B11" s="144" t="n"/>
      <c r="C11" s="145" t="n"/>
      <c r="D11" s="145" t="n"/>
      <c r="E11" s="145" t="n"/>
      <c r="F11" s="145" t="n"/>
      <c r="G11" s="145" t="n"/>
      <c r="H11" s="145" t="n"/>
      <c r="I11" s="145" t="n"/>
      <c r="J11" s="145" t="n"/>
      <c r="K11" s="145" t="n"/>
      <c r="L11" s="145" t="n"/>
      <c r="M11" s="145" t="n"/>
      <c r="N11" s="145" t="n"/>
      <c r="O11" s="146" t="n"/>
      <c r="P11" s="122" t="n"/>
      <c r="Q11" s="147" t="n"/>
      <c r="R11" s="122" t="n"/>
      <c r="S11" s="122" t="n"/>
      <c r="T11" s="122" t="n"/>
      <c r="U11" s="122" t="n"/>
      <c r="V11" s="122" t="n"/>
      <c r="W11" s="122" t="n"/>
      <c r="X11" s="122" t="n"/>
      <c r="Y11" s="122" t="n"/>
      <c r="Z11" s="122" t="n"/>
    </row>
    <row r="12" outlineLevel="1" s="165">
      <c r="A12" s="148" t="inlineStr">
        <is>
          <t xml:space="preserve">TC01   </t>
        </is>
      </c>
      <c r="B12" s="148" t="inlineStr">
        <is>
          <t>Verify successful customer registration with valid details.</t>
        </is>
      </c>
      <c r="C12" s="148" t="inlineStr">
        <is>
          <t>1.Navigate to the Register page.
2.Enter valid Full Name, Email, Phone, Password, and Confirm Password.
3.Click the "Register" button.</t>
        </is>
      </c>
      <c r="D12" s="148" t="inlineStr">
        <is>
          <t xml:space="preserve">System hashes password, inserts record into database with status 'active' (Role_id=3), and redirects to Login page with a success message.
</t>
        </is>
      </c>
      <c r="E12" s="148" t="inlineStr">
        <is>
          <t xml:space="preserve">Guest does not have an active account with the provided email or phone number.
</t>
        </is>
      </c>
      <c r="F12" s="151" t="inlineStr">
        <is>
          <t>Passed</t>
        </is>
      </c>
      <c r="G12" s="150" t="n">
        <v>46181</v>
      </c>
      <c r="H12" s="151" t="inlineStr">
        <is>
          <t>LUCTV</t>
        </is>
      </c>
      <c r="I12" s="151" t="inlineStr">
        <is>
          <t>N/A</t>
        </is>
      </c>
      <c r="J12" s="151" t="n"/>
      <c r="K12" s="151" t="n"/>
      <c r="L12" s="151" t="inlineStr">
        <is>
          <t>N/A</t>
        </is>
      </c>
      <c r="M12" s="151" t="n"/>
      <c r="N12" s="151" t="n"/>
      <c r="O12" s="151" t="inlineStr">
        <is>
          <t xml:space="preserve">Iteration 1.
</t>
        </is>
      </c>
      <c r="P12" s="152" t="n"/>
      <c r="Q12" s="153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</row>
    <row r="13">
      <c r="A13" s="156" t="inlineStr">
        <is>
          <t>Scenario 2 - Data Validation Rules</t>
        </is>
      </c>
      <c r="B13" s="156" t="n"/>
      <c r="C13" s="156" t="n"/>
      <c r="D13" s="156" t="n"/>
      <c r="E13" s="156" t="n"/>
      <c r="F13" s="156" t="n"/>
      <c r="G13" s="156" t="n"/>
      <c r="H13" s="156" t="n"/>
      <c r="I13" s="156" t="n"/>
      <c r="J13" s="156" t="n"/>
      <c r="K13" s="156" t="n"/>
      <c r="L13" s="156" t="n"/>
      <c r="M13" s="156" t="n"/>
      <c r="N13" s="156" t="n"/>
      <c r="O13" s="156" t="n"/>
      <c r="P13" s="157" t="n"/>
      <c r="Q13" s="147" t="n"/>
      <c r="R13" s="122" t="n"/>
      <c r="S13" s="122" t="n"/>
      <c r="T13" s="122" t="n"/>
      <c r="U13" s="122" t="n"/>
      <c r="V13" s="122" t="n"/>
      <c r="W13" s="122" t="n"/>
      <c r="X13" s="122" t="n"/>
      <c r="Y13" s="122" t="n"/>
      <c r="Z13" s="122" t="n"/>
    </row>
    <row r="14" outlineLevel="1" s="165">
      <c r="A14" s="159" t="inlineStr">
        <is>
          <t>TC02</t>
        </is>
      </c>
      <c r="B14" s="159" t="inlineStr">
        <is>
          <t>Verify system validation when required fields are
 left blank</t>
        </is>
      </c>
      <c r="C14" s="159" t="inlineStr">
        <is>
          <t>Navigate to the Register page.
Leave one or more required fields empty.
Click the "Register" button.</t>
        </is>
      </c>
      <c r="D14" s="159" t="inlineStr">
        <is>
          <t>System blocks registration and displays error message: "Please fill in all required fields!".</t>
        </is>
      </c>
      <c r="E14" s="159" t="inlineStr">
        <is>
          <t>Guest is on the Register page.</t>
        </is>
      </c>
      <c r="F14" s="151" t="inlineStr">
        <is>
          <t>Passed</t>
        </is>
      </c>
      <c r="G14" s="150" t="n">
        <v>46181</v>
      </c>
      <c r="H14" s="159" t="inlineStr">
        <is>
          <t>LUCTV</t>
        </is>
      </c>
      <c r="I14" s="159" t="inlineStr">
        <is>
          <t>N/A</t>
        </is>
      </c>
      <c r="J14" s="159" t="n"/>
      <c r="K14" s="159" t="n"/>
      <c r="L14" s="159" t="inlineStr">
        <is>
          <t>N/A</t>
        </is>
      </c>
      <c r="M14" s="159" t="n"/>
      <c r="N14" s="159" t="n"/>
      <c r="O14" s="159" t="inlineStr">
        <is>
          <t>Iteration 1.</t>
        </is>
      </c>
      <c r="P14" s="64" t="n"/>
      <c r="Q14" s="153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</row>
    <row r="15" outlineLevel="1" s="165">
      <c r="A15" s="159" t="inlineStr">
        <is>
          <t>TC03</t>
        </is>
      </c>
      <c r="B15" s="159" t="inlineStr">
        <is>
          <t>Verify system validation when Full Name contains 
numbers or special characters.</t>
        </is>
      </c>
      <c r="C15" s="159" t="inlineStr">
        <is>
          <t>Enter a Full Name containing numbers or symbols (e.g., "Luc123").
Fill in other fields validly and click "Register".</t>
        </is>
      </c>
      <c r="D15" s="159" t="inlineStr">
        <is>
          <t>System displays selected vehicle details including price, deposit, description and status.</t>
        </is>
      </c>
      <c r="E15" s="159" t="inlineStr">
        <is>
          <t>Guest is on the Register page.</t>
        </is>
      </c>
      <c r="F15" s="151" t="inlineStr">
        <is>
          <t>Passed</t>
        </is>
      </c>
      <c r="G15" s="150" t="n">
        <v>46181</v>
      </c>
      <c r="H15" s="159" t="inlineStr">
        <is>
          <t>LUCTV</t>
        </is>
      </c>
      <c r="I15" s="159" t="inlineStr">
        <is>
          <t>N/A</t>
        </is>
      </c>
      <c r="J15" s="159" t="n"/>
      <c r="K15" s="159" t="n"/>
      <c r="L15" s="159" t="inlineStr">
        <is>
          <t>N/A</t>
        </is>
      </c>
      <c r="M15" s="159" t="n"/>
      <c r="N15" s="159" t="n"/>
      <c r="O15" s="159" t="inlineStr">
        <is>
          <t>Iteration 1.</t>
        </is>
      </c>
      <c r="P15" s="64" t="n"/>
      <c r="Q15" s="115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</row>
    <row r="16">
      <c r="A16" s="159" t="inlineStr">
        <is>
          <t>TC04</t>
        </is>
      </c>
      <c r="B16" s="159" t="inlineStr">
        <is>
          <t>Verify system validation when Full Name exceeds 
100 characters.</t>
        </is>
      </c>
      <c r="C16" s="159" t="inlineStr">
        <is>
          <t>Enter a Full Name longer than 100 characters.
Fill in other fields validly and click "Register".</t>
        </is>
      </c>
      <c r="D16" s="159" t="inlineStr">
        <is>
          <t>System displays error message: "Full name must not exceed 100 characters!".</t>
        </is>
      </c>
      <c r="E16" s="159" t="inlineStr">
        <is>
          <t>Guest is on the Register page.</t>
        </is>
      </c>
      <c r="F16" s="151" t="inlineStr">
        <is>
          <t>Passed</t>
        </is>
      </c>
      <c r="G16" s="150" t="n">
        <v>46181</v>
      </c>
      <c r="H16" s="159" t="inlineStr">
        <is>
          <t>LUCTV</t>
        </is>
      </c>
      <c r="I16" s="159" t="inlineStr">
        <is>
          <t>N/A</t>
        </is>
      </c>
      <c r="J16" s="159" t="n"/>
      <c r="K16" s="159" t="n"/>
      <c r="L16" s="159" t="inlineStr">
        <is>
          <t>N/A</t>
        </is>
      </c>
      <c r="M16" s="159" t="n"/>
      <c r="N16" s="159" t="n"/>
      <c r="O16" s="159" t="inlineStr">
        <is>
          <t>Iteration 1.</t>
        </is>
      </c>
      <c r="P16" s="157" t="n"/>
      <c r="Q16" s="147" t="n"/>
      <c r="R16" s="122" t="n"/>
      <c r="S16" s="122" t="n"/>
      <c r="T16" s="122" t="n"/>
      <c r="U16" s="122" t="n"/>
      <c r="V16" s="122" t="n"/>
      <c r="W16" s="122" t="n"/>
      <c r="X16" s="122" t="n"/>
      <c r="Y16" s="122" t="n"/>
      <c r="Z16" s="122" t="n"/>
    </row>
    <row r="17">
      <c r="A17" s="159" t="inlineStr">
        <is>
          <t>TC05</t>
        </is>
      </c>
      <c r="B17" s="159" t="inlineStr">
        <is>
          <t>Verify system validation when Password and Confirm 
Password do not match.</t>
        </is>
      </c>
      <c r="C17" s="159" t="inlineStr">
        <is>
          <t>Enter "123456" in Password and "654321" in Confirm Password.
Fill in other fields validly and click "Register".</t>
        </is>
      </c>
      <c r="D17" s="159" t="inlineStr">
        <is>
          <t>System displays error message: "Passwords do not match!".</t>
        </is>
      </c>
      <c r="E17" s="159" t="inlineStr">
        <is>
          <t>Guest is on the Register page.</t>
        </is>
      </c>
      <c r="F17" s="151" t="inlineStr">
        <is>
          <t>Passed</t>
        </is>
      </c>
      <c r="G17" s="150" t="n">
        <v>46181</v>
      </c>
      <c r="H17" s="159" t="inlineStr">
        <is>
          <t>LUCTV</t>
        </is>
      </c>
      <c r="I17" s="159" t="inlineStr">
        <is>
          <t>N/A</t>
        </is>
      </c>
      <c r="J17" s="159" t="n"/>
      <c r="K17" s="159" t="n"/>
      <c r="L17" s="159" t="inlineStr">
        <is>
          <t>N/A</t>
        </is>
      </c>
      <c r="M17" s="159" t="n"/>
      <c r="N17" s="159" t="n"/>
      <c r="O17" s="159" t="inlineStr">
        <is>
          <t>Iteration 1.</t>
        </is>
      </c>
      <c r="P17" s="157" t="n"/>
      <c r="Q17" s="147" t="n"/>
      <c r="R17" s="122" t="n"/>
      <c r="S17" s="122" t="n"/>
      <c r="T17" s="122" t="n"/>
      <c r="U17" s="122" t="n"/>
      <c r="V17" s="122" t="n"/>
      <c r="W17" s="122" t="n"/>
      <c r="X17" s="122" t="n"/>
      <c r="Y17" s="122" t="n"/>
      <c r="Z17" s="122" t="n"/>
    </row>
    <row r="18">
      <c r="A18" s="159" t="inlineStr">
        <is>
          <t>TC06</t>
        </is>
      </c>
      <c r="B18" s="159" t="inlineStr">
        <is>
          <t>Verify system validation when Email format is invalid.</t>
        </is>
      </c>
      <c r="C18" s="159" t="inlineStr">
        <is>
          <t>Enter an invalid email address (e.g., "luc.trinh@").
Click the "Register" button.</t>
        </is>
      </c>
      <c r="D18" s="159" t="inlineStr">
        <is>
          <t>System displays error message: "Invalid email address!".</t>
        </is>
      </c>
      <c r="E18" s="159" t="inlineStr">
        <is>
          <t>Guest is on the Register page.</t>
        </is>
      </c>
      <c r="F18" s="151" t="inlineStr">
        <is>
          <t>Passed</t>
        </is>
      </c>
      <c r="G18" s="150" t="n">
        <v>46181</v>
      </c>
      <c r="H18" s="159" t="inlineStr">
        <is>
          <t>LUCTV</t>
        </is>
      </c>
      <c r="I18" s="159" t="inlineStr">
        <is>
          <t>N/A</t>
        </is>
      </c>
      <c r="J18" s="159" t="n"/>
      <c r="K18" s="159" t="n"/>
      <c r="L18" s="159" t="inlineStr">
        <is>
          <t>N/A</t>
        </is>
      </c>
      <c r="M18" s="159" t="n"/>
      <c r="N18" s="159" t="n"/>
      <c r="O18" s="159" t="inlineStr">
        <is>
          <t>Iteration 1.</t>
        </is>
      </c>
      <c r="P18" s="157" t="n"/>
      <c r="Q18" s="147" t="n"/>
      <c r="R18" s="122" t="n"/>
      <c r="S18" s="122" t="n"/>
      <c r="T18" s="122" t="n"/>
      <c r="U18" s="122" t="n"/>
      <c r="V18" s="122" t="n"/>
      <c r="W18" s="122" t="n"/>
      <c r="X18" s="122" t="n"/>
      <c r="Y18" s="122" t="n"/>
      <c r="Z18" s="122" t="n"/>
    </row>
    <row r="19">
      <c r="A19" s="159" t="inlineStr">
        <is>
          <t>TC07</t>
        </is>
      </c>
      <c r="B19" s="159" t="inlineStr">
        <is>
          <t>Verify system validation when Phone format is invalid.</t>
        </is>
      </c>
      <c r="C19" s="159" t="inlineStr">
        <is>
          <t>Enter a phone number that is not 10 digits or has an incorrect prefix.
Click the "Register" button.</t>
        </is>
      </c>
      <c r="D19" s="159" t="inlineStr">
        <is>
          <t>System displays error message: "Invalid phone number!".</t>
        </is>
      </c>
      <c r="E19" s="159" t="inlineStr">
        <is>
          <t>Guest is on the Register page.</t>
        </is>
      </c>
      <c r="F19" s="151" t="inlineStr">
        <is>
          <t>Passed</t>
        </is>
      </c>
      <c r="G19" s="230" t="n">
        <v>46181</v>
      </c>
      <c r="H19" s="159" t="inlineStr">
        <is>
          <t>LUCTV</t>
        </is>
      </c>
      <c r="I19" s="159" t="inlineStr">
        <is>
          <t>N/A</t>
        </is>
      </c>
      <c r="J19" s="159" t="n"/>
      <c r="K19" s="159" t="n"/>
      <c r="L19" s="159" t="inlineStr">
        <is>
          <t>N/A</t>
        </is>
      </c>
      <c r="M19" s="159" t="n"/>
      <c r="N19" s="159" t="n"/>
      <c r="O19" s="159" t="inlineStr">
        <is>
          <t>Iteration 1.</t>
        </is>
      </c>
      <c r="P19" s="157" t="n"/>
      <c r="Q19" s="147" t="n"/>
      <c r="R19" s="122" t="n"/>
      <c r="S19" s="122" t="n"/>
      <c r="T19" s="122" t="n"/>
      <c r="U19" s="122" t="n"/>
      <c r="V19" s="122" t="n"/>
      <c r="W19" s="122" t="n"/>
      <c r="X19" s="122" t="n"/>
      <c r="Y19" s="122" t="n"/>
      <c r="Z19" s="122" t="n"/>
    </row>
    <row r="20">
      <c r="A20" s="159" t="inlineStr">
        <is>
          <t>TC08</t>
        </is>
      </c>
      <c r="B20" s="159" t="inlineStr">
        <is>
          <t>Verify system validation when Password is less than
 6 characters.</t>
        </is>
      </c>
      <c r="C20" s="159" t="inlineStr">
        <is>
          <t>Enter a password with less than 6 characters (e.g., "123").
Click the "Register" button.</t>
        </is>
      </c>
      <c r="D20" s="159" t="inlineStr">
        <is>
          <t>System displays error message: "Password must be at least 6 characters long!".</t>
        </is>
      </c>
      <c r="E20" s="159" t="inlineStr">
        <is>
          <t>Guest is on the Register page.</t>
        </is>
      </c>
      <c r="F20" s="151" t="inlineStr">
        <is>
          <t>Passed</t>
        </is>
      </c>
      <c r="G20" s="150" t="n">
        <v>46181</v>
      </c>
      <c r="H20" s="159" t="inlineStr">
        <is>
          <t>LUCTV</t>
        </is>
      </c>
      <c r="I20" s="159" t="inlineStr">
        <is>
          <t>N/A</t>
        </is>
      </c>
      <c r="J20" s="159" t="n"/>
      <c r="K20" s="159" t="n"/>
      <c r="L20" s="159" t="inlineStr">
        <is>
          <t>N/A</t>
        </is>
      </c>
      <c r="M20" s="159" t="n"/>
      <c r="N20" s="159" t="n"/>
      <c r="O20" s="159" t="inlineStr">
        <is>
          <t>Iteration 1.</t>
        </is>
      </c>
      <c r="P20" s="157" t="n"/>
      <c r="Q20" s="147" t="n"/>
      <c r="R20" s="122" t="n"/>
      <c r="S20" s="122" t="n"/>
      <c r="T20" s="122" t="n"/>
      <c r="U20" s="122" t="n"/>
      <c r="V20" s="122" t="n"/>
      <c r="W20" s="122" t="n"/>
      <c r="X20" s="122" t="n"/>
      <c r="Y20" s="122" t="n"/>
      <c r="Z20" s="122" t="n"/>
    </row>
    <row r="21" outlineLevel="1" s="165">
      <c r="A21" s="156" t="inlineStr">
        <is>
          <t>Scenario 3 - Duplicate Data Check</t>
        </is>
      </c>
      <c r="B21" s="156" t="n"/>
      <c r="C21" s="156" t="n"/>
      <c r="D21" s="156" t="n"/>
      <c r="E21" s="156" t="n"/>
      <c r="F21" s="156" t="n"/>
      <c r="G21" s="156" t="n"/>
      <c r="H21" s="156" t="n"/>
      <c r="I21" s="156" t="n"/>
      <c r="J21" s="156" t="n"/>
      <c r="K21" s="156" t="n"/>
      <c r="L21" s="156" t="n"/>
      <c r="M21" s="156" t="n"/>
      <c r="N21" s="156" t="n"/>
      <c r="O21" s="156" t="n"/>
      <c r="P21" s="64" t="n"/>
      <c r="Q21" s="153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>
      <c r="A22" s="159" t="inlineStr">
        <is>
          <t>TC09</t>
        </is>
      </c>
      <c r="B22" s="159" t="inlineStr">
        <is>
          <t>Verify system validation when the Email is already in
 use.</t>
        </is>
      </c>
      <c r="C22" s="159" t="inlineStr">
        <is>
          <t>Enter an email address that already exists in the database.
Click the "Register" button.</t>
        </is>
      </c>
      <c r="D22" s="159" t="inlineStr">
        <is>
          <t>System displays error message: "This email is already registered!".</t>
        </is>
      </c>
      <c r="E22" s="159" t="inlineStr">
        <is>
          <t>Guest enters an email that is already
 registered in the system.</t>
        </is>
      </c>
      <c r="F22" s="151" t="inlineStr">
        <is>
          <t>Passed</t>
        </is>
      </c>
      <c r="G22" s="150" t="n">
        <v>46181</v>
      </c>
      <c r="H22" s="159" t="inlineStr">
        <is>
          <t>LUCTV</t>
        </is>
      </c>
      <c r="I22" s="159" t="inlineStr">
        <is>
          <t>N/A</t>
        </is>
      </c>
      <c r="J22" s="159" t="n"/>
      <c r="K22" s="159" t="n"/>
      <c r="L22" s="159" t="inlineStr">
        <is>
          <t>N/A</t>
        </is>
      </c>
      <c r="M22" s="159" t="n"/>
      <c r="N22" s="159" t="n"/>
      <c r="O22" s="159" t="inlineStr">
        <is>
          <t>Iteration 1.</t>
        </is>
      </c>
      <c r="P22" s="64" t="n"/>
      <c r="Q22" s="115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>
      <c r="A23" s="159" t="inlineStr">
        <is>
          <t>TC10</t>
        </is>
      </c>
      <c r="B23" s="159" t="inlineStr">
        <is>
          <t>Verify system validation when the Phone number
 is already in use.</t>
        </is>
      </c>
      <c r="C23" s="159" t="inlineStr">
        <is>
          <t>Enter a phone number that already exists in the database.
Click the "Register" button.</t>
        </is>
      </c>
      <c r="D23" s="159" t="inlineStr">
        <is>
          <t>System displays error message: "This phone number is already registered!".</t>
        </is>
      </c>
      <c r="E23" s="159" t="inlineStr">
        <is>
          <t>Guest enters a phone number that is 
already registered in the system.</t>
        </is>
      </c>
      <c r="F23" s="151" t="inlineStr">
        <is>
          <t>Passed</t>
        </is>
      </c>
      <c r="G23" s="150" t="n">
        <v>46181</v>
      </c>
      <c r="H23" s="159" t="inlineStr">
        <is>
          <t>LUCTV</t>
        </is>
      </c>
      <c r="I23" s="159" t="inlineStr">
        <is>
          <t>N/A</t>
        </is>
      </c>
      <c r="J23" s="159" t="n"/>
      <c r="K23" s="159" t="n"/>
      <c r="L23" s="159" t="inlineStr">
        <is>
          <t>N/A</t>
        </is>
      </c>
      <c r="M23" s="159" t="n"/>
      <c r="N23" s="159" t="n"/>
      <c r="O23" s="159" t="inlineStr">
        <is>
          <t>Iteration 1.</t>
        </is>
      </c>
      <c r="P23" s="64" t="n"/>
      <c r="Q23" s="115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 ht="12.75" customHeight="1" s="165">
      <c r="A24" s="160" t="n"/>
      <c r="B24" s="160" t="n"/>
      <c r="C24" s="160" t="n"/>
      <c r="D24" s="160" t="n"/>
      <c r="E24" s="160" t="n"/>
      <c r="F24" s="160" t="n"/>
      <c r="G24" s="160" t="n"/>
      <c r="H24" s="160" t="n"/>
      <c r="I24" s="160" t="n"/>
      <c r="J24" s="160" t="n"/>
      <c r="K24" s="160" t="n"/>
      <c r="L24" s="160" t="n"/>
      <c r="M24" s="160" t="n"/>
      <c r="N24" s="160" t="n"/>
      <c r="O24" s="160" t="n"/>
      <c r="P24" s="10" t="n"/>
      <c r="Q24" s="115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 ht="12.75" customHeight="1" s="16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15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 ht="12.75" customHeight="1" s="165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15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 ht="12.75" customHeight="1" s="165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15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 ht="12.75" customHeight="1" s="165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15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 ht="12.75" customHeight="1" s="165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15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 ht="12.75" customHeight="1" s="165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15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 ht="12.75" customHeight="1" s="165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15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 ht="12.75" customHeight="1" s="165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15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 ht="12.75" customHeight="1" s="165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15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 ht="12.75" customHeight="1" s="165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15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 ht="12.75" customHeight="1" s="16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15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 ht="12.75" customHeight="1" s="165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15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 ht="12.75" customHeight="1" s="165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15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 ht="12.75" customHeight="1" s="165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15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 ht="12.75" customHeight="1" s="165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15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 ht="12.75" customHeight="1" s="165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15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 ht="12.75" customHeight="1" s="165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15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 ht="12.75" customHeight="1" s="165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15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 ht="12.75" customHeight="1" s="165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15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 ht="12.75" customHeight="1" s="165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15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 ht="12.75" customHeight="1" s="16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15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 ht="12.75" customHeight="1" s="165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15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 ht="12.75" customHeight="1" s="165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5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 ht="12.75" customHeight="1" s="165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15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 ht="12.75" customHeight="1" s="165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5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 ht="12.75" customHeight="1" s="165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15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 ht="12.75" customHeight="1" s="165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15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 ht="12.75" customHeight="1" s="165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15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 ht="12.75" customHeight="1" s="165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15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 ht="12.75" customHeight="1" s="165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15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 ht="12.75" customHeight="1" s="16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15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 ht="12.75" customHeight="1" s="165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15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 ht="12.75" customHeight="1" s="165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15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 ht="12.75" customHeight="1" s="165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15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 ht="12.75" customHeight="1" s="165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15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 ht="12.75" customHeight="1" s="165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15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 ht="12.75" customHeight="1" s="165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15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 ht="12.75" customHeight="1" s="165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15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 ht="12.75" customHeight="1" s="165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15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 ht="12.75" customHeight="1" s="165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15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 ht="12.75" customHeight="1" s="1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15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 ht="12.75" customHeight="1" s="165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15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 ht="12.75" customHeight="1" s="165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15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 ht="12.75" customHeight="1" s="165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15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 ht="12.75" customHeight="1" s="165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15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 ht="12.75" customHeight="1" s="165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15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 ht="12.75" customHeight="1" s="165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15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 ht="12.75" customHeight="1" s="165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15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 ht="12.75" customHeight="1" s="165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15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 ht="12.75" customHeight="1" s="165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15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 ht="12.75" customHeight="1" s="16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15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 ht="12.75" customHeight="1" s="165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15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 ht="12.75" customHeight="1" s="165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15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 ht="12.75" customHeight="1" s="165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15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 ht="12.75" customHeight="1" s="165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15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 ht="12.75" customHeight="1" s="165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15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 ht="12.75" customHeight="1" s="165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15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 ht="12.75" customHeight="1" s="165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15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 ht="12.75" customHeight="1" s="165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15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 ht="12.75" customHeight="1" s="165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15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 ht="12.75" customHeight="1" s="16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15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 ht="12.75" customHeight="1" s="165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15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 ht="12.75" customHeight="1" s="165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15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 ht="12.75" customHeight="1" s="165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15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 ht="12.75" customHeight="1" s="165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15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 ht="12.75" customHeight="1" s="165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15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 ht="12.75" customHeight="1" s="165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15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 ht="12.75" customHeight="1" s="165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15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 ht="12.75" customHeight="1" s="165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15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 ht="12.75" customHeight="1" s="165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15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 ht="12.75" customHeight="1" s="16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15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 ht="12.75" customHeight="1" s="165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15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 ht="12.75" customHeight="1" s="165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15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 ht="12.75" customHeight="1" s="165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15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 ht="12.75" customHeight="1" s="165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15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 ht="12.75" customHeight="1" s="165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15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 ht="12.75" customHeight="1" s="165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15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 ht="12.75" customHeight="1" s="165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15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 ht="12.75" customHeight="1" s="165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15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 ht="12.75" customHeight="1" s="165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15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 ht="12.75" customHeight="1" s="16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15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 ht="12.75" customHeight="1" s="165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15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 ht="12.75" customHeight="1" s="165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15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 ht="12.75" customHeight="1" s="165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15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 ht="12.75" customHeight="1" s="165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15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 ht="12.75" customHeight="1" s="165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15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 ht="12.75" customHeight="1" s="165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15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 ht="12.75" customHeight="1" s="165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15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 ht="12.75" customHeight="1" s="165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15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 ht="12.75" customHeight="1" s="165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15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 ht="12.75" customHeight="1" s="16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15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 ht="12.75" customHeight="1" s="165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15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 ht="12.75" customHeight="1" s="165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15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 ht="12.75" customHeight="1" s="165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15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 ht="12.75" customHeight="1" s="165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15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 ht="12.75" customHeight="1" s="165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15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 ht="12.75" customHeight="1" s="165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15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 ht="12.75" customHeight="1" s="165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15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 ht="12.75" customHeight="1" s="165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15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 ht="12.75" customHeight="1" s="165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15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 ht="12.75" customHeight="1" s="16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15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 ht="12.75" customHeight="1" s="165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15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 ht="12.75" customHeight="1" s="165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15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 ht="12.75" customHeight="1" s="165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15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 ht="12.75" customHeight="1" s="165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15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 ht="12.75" customHeight="1" s="165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15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 ht="15.75" customHeight="1" s="165"/>
    <row r="132" ht="15.75" customHeight="1" s="165"/>
    <row r="133" ht="15.75" customHeight="1" s="165"/>
    <row r="134" ht="15.75" customHeight="1" s="165"/>
    <row r="135" ht="15.75" customHeight="1" s="165"/>
    <row r="136" ht="15.75" customHeight="1" s="165"/>
    <row r="137" ht="15.75" customHeight="1" s="165"/>
    <row r="138" ht="15.75" customHeight="1" s="165"/>
    <row r="139" ht="15.75" customHeight="1" s="165"/>
    <row r="140" ht="15.75" customHeight="1" s="165"/>
    <row r="141" ht="15.75" customHeight="1" s="165"/>
    <row r="142" ht="15.75" customHeight="1" s="165"/>
    <row r="143" ht="15.75" customHeight="1" s="165"/>
    <row r="144" ht="15.75" customHeight="1" s="165"/>
    <row r="145" ht="15.75" customHeight="1" s="165"/>
    <row r="146" ht="15.75" customHeight="1" s="165"/>
    <row r="147" ht="15.75" customHeight="1" s="165"/>
    <row r="148" ht="15.75" customHeight="1" s="165"/>
    <row r="149" ht="15.75" customHeight="1" s="165"/>
    <row r="150" ht="15.75" customHeight="1" s="165"/>
    <row r="151" ht="15.75" customHeight="1" s="165"/>
    <row r="152" ht="15.75" customHeight="1" s="165"/>
    <row r="153" ht="15.75" customHeight="1" s="165"/>
    <row r="154" ht="15.75" customHeight="1" s="165"/>
    <row r="155" ht="15.75" customHeight="1" s="165"/>
    <row r="156" ht="15.75" customHeight="1" s="165"/>
    <row r="157" ht="15.75" customHeight="1" s="165"/>
    <row r="158" ht="15.75" customHeight="1" s="165"/>
    <row r="159" ht="15.75" customHeight="1" s="165"/>
    <row r="160" ht="15.75" customHeight="1" s="165"/>
    <row r="161" ht="15.75" customHeight="1" s="165"/>
    <row r="162" ht="15.75" customHeight="1" s="165"/>
    <row r="163" ht="15.75" customHeight="1" s="165"/>
    <row r="164" ht="15.75" customHeight="1" s="165"/>
    <row r="165" ht="15.75" customHeight="1" s="165"/>
    <row r="166" ht="15.75" customHeight="1" s="165"/>
    <row r="167" ht="15.75" customHeight="1" s="165"/>
    <row r="168" ht="15.75" customHeight="1" s="165"/>
    <row r="169" ht="15.75" customHeight="1" s="165"/>
    <row r="170" ht="15.75" customHeight="1" s="165"/>
    <row r="171" ht="15.75" customHeight="1" s="165"/>
    <row r="172" ht="15.75" customHeight="1" s="165"/>
    <row r="173" ht="15.75" customHeight="1" s="165"/>
    <row r="174" ht="15.75" customHeight="1" s="165"/>
    <row r="175" ht="15.75" customHeight="1" s="165"/>
    <row r="176" ht="15.75" customHeight="1" s="165"/>
    <row r="177" ht="15.75" customHeight="1" s="165"/>
    <row r="178" ht="15.75" customHeight="1" s="165"/>
    <row r="179" ht="15.75" customHeight="1" s="165"/>
    <row r="180" ht="15.75" customHeight="1" s="165"/>
    <row r="181" ht="15.75" customHeight="1" s="165"/>
    <row r="182" ht="15.75" customHeight="1" s="165"/>
    <row r="183" ht="15.75" customHeight="1" s="165"/>
    <row r="184" ht="15.75" customHeight="1" s="165"/>
    <row r="185" ht="15.75" customHeight="1" s="165"/>
    <row r="186" ht="15.75" customHeight="1" s="165"/>
    <row r="187" ht="15.75" customHeight="1" s="165"/>
    <row r="188" ht="15.75" customHeight="1" s="165"/>
    <row r="189" ht="15.75" customHeight="1" s="165"/>
    <row r="190" ht="15.75" customHeight="1" s="165"/>
    <row r="191" ht="15.75" customHeight="1" s="165"/>
    <row r="192" ht="15.75" customHeight="1" s="165"/>
    <row r="193" ht="15.75" customHeight="1" s="165"/>
    <row r="194" ht="15.75" customHeight="1" s="165"/>
    <row r="195" ht="15.75" customHeight="1" s="165"/>
    <row r="196" ht="15.75" customHeight="1" s="165"/>
    <row r="197" ht="15.75" customHeight="1" s="165"/>
    <row r="198" ht="15.75" customHeight="1" s="165"/>
    <row r="199" ht="15.75" customHeight="1" s="165"/>
    <row r="200" ht="15.75" customHeight="1" s="165"/>
    <row r="201" ht="15.75" customHeight="1" s="165"/>
    <row r="202" ht="15.75" customHeight="1" s="165"/>
    <row r="203" ht="15.75" customHeight="1" s="165"/>
    <row r="204" ht="15.75" customHeight="1" s="165"/>
    <row r="205" ht="15.75" customHeight="1" s="165"/>
    <row r="206" ht="15.75" customHeight="1" s="165"/>
    <row r="207" ht="15.75" customHeight="1" s="165"/>
    <row r="208" ht="15.75" customHeight="1" s="165"/>
    <row r="209" ht="15.75" customHeight="1" s="165"/>
    <row r="210" ht="15.75" customHeight="1" s="165"/>
    <row r="211" ht="15.75" customHeight="1" s="165"/>
    <row r="212" ht="15.75" customHeight="1" s="165"/>
    <row r="213" ht="15.75" customHeight="1" s="165"/>
    <row r="214" ht="15.75" customHeight="1" s="165"/>
    <row r="215" ht="15.75" customHeight="1" s="165"/>
    <row r="216" ht="15.75" customHeight="1" s="165"/>
    <row r="217" ht="15.75" customHeight="1" s="165"/>
    <row r="218" ht="15.75" customHeight="1" s="165"/>
    <row r="219" ht="15.75" customHeight="1" s="165"/>
    <row r="220" ht="15.75" customHeight="1" s="165"/>
    <row r="221" ht="15.75" customHeight="1" s="165"/>
    <row r="222" ht="15.75" customHeight="1" s="165"/>
    <row r="223" ht="15.75" customHeight="1" s="165"/>
    <row r="224" ht="15.75" customHeight="1" s="165"/>
    <row r="225" ht="15.75" customHeight="1" s="165"/>
    <row r="226" ht="15.75" customHeight="1" s="165"/>
    <row r="227" ht="15.75" customHeight="1" s="165"/>
    <row r="228" ht="15.75" customHeight="1" s="165"/>
    <row r="229" ht="15.75" customHeight="1" s="165"/>
    <row r="230" ht="15.75" customHeight="1" s="165"/>
    <row r="231" ht="15.75" customHeight="1" s="165"/>
    <row r="232" ht="15.75" customHeight="1" s="165"/>
    <row r="233" ht="15.75" customHeight="1" s="165"/>
    <row r="234" ht="15.75" customHeight="1" s="165"/>
    <row r="235" ht="15.75" customHeight="1" s="165"/>
    <row r="236" ht="15.75" customHeight="1" s="165"/>
    <row r="237" ht="15.75" customHeight="1" s="165"/>
    <row r="238" ht="15.75" customHeight="1" s="165"/>
    <row r="239" ht="15.75" customHeight="1" s="165"/>
    <row r="240" ht="15.75" customHeight="1" s="165"/>
    <row r="241" ht="15.75" customHeight="1" s="165"/>
    <row r="242" ht="15.75" customHeight="1" s="165"/>
    <row r="243" ht="15.75" customHeight="1" s="165"/>
    <row r="244" ht="15.75" customHeight="1" s="165"/>
    <row r="245" ht="15.75" customHeight="1" s="165"/>
    <row r="246" ht="15.75" customHeight="1" s="165"/>
    <row r="247" ht="15.75" customHeight="1" s="165"/>
    <row r="248" ht="15.75" customHeight="1" s="165"/>
    <row r="249" ht="15.75" customHeight="1" s="165"/>
    <row r="250" ht="15.75" customHeight="1" s="165"/>
    <row r="251" ht="15.75" customHeight="1" s="165"/>
    <row r="252" ht="15.75" customHeight="1" s="165"/>
    <row r="253" ht="15.75" customHeight="1" s="165"/>
    <row r="254" ht="15.75" customHeight="1" s="165"/>
    <row r="255" ht="15.75" customHeight="1" s="165"/>
    <row r="256" ht="15.75" customHeight="1" s="165"/>
    <row r="257" ht="15.75" customHeight="1" s="165"/>
    <row r="258" ht="15.75" customHeight="1" s="165"/>
    <row r="259" ht="15.75" customHeight="1" s="165"/>
    <row r="260" ht="15.75" customHeight="1" s="165"/>
    <row r="261" ht="15.75" customHeight="1" s="165"/>
    <row r="262" ht="15.75" customHeight="1" s="165"/>
    <row r="263" ht="15.75" customHeight="1" s="165"/>
    <row r="264" ht="15.75" customHeight="1" s="165"/>
    <row r="265" ht="15.75" customHeight="1" s="165"/>
    <row r="266" ht="15.75" customHeight="1" s="165"/>
    <row r="267" ht="15.75" customHeight="1" s="165"/>
    <row r="268" ht="15.75" customHeight="1" s="165"/>
    <row r="269" ht="15.75" customHeight="1" s="165"/>
    <row r="270" ht="15.75" customHeight="1" s="165"/>
    <row r="271" ht="15.75" customHeight="1" s="165"/>
    <row r="272" ht="15.75" customHeight="1" s="165"/>
    <row r="273" ht="15.75" customHeight="1" s="165"/>
    <row r="274" ht="15.75" customHeight="1" s="165"/>
    <row r="275" ht="15.75" customHeight="1" s="165"/>
    <row r="276" ht="15.75" customHeight="1" s="165"/>
    <row r="277" ht="15.75" customHeight="1" s="165"/>
    <row r="278" ht="15.75" customHeight="1" s="165"/>
    <row r="279" ht="15.75" customHeight="1" s="165"/>
    <row r="280" ht="15.75" customHeight="1" s="165"/>
    <row r="281" ht="15.75" customHeight="1" s="165"/>
    <row r="282" ht="15.75" customHeight="1" s="165"/>
    <row r="283" ht="15.75" customHeight="1" s="165"/>
    <row r="284" ht="15.75" customHeight="1" s="165"/>
    <row r="285" ht="15.75" customHeight="1" s="165"/>
    <row r="286" ht="15.75" customHeight="1" s="165"/>
    <row r="287" ht="15.75" customHeight="1" s="165"/>
    <row r="288" ht="15.75" customHeight="1" s="165"/>
    <row r="289" ht="15.75" customHeight="1" s="165"/>
    <row r="290" ht="15.75" customHeight="1" s="165"/>
    <row r="291" ht="15.75" customHeight="1" s="165"/>
    <row r="292" ht="15.75" customHeight="1" s="165"/>
    <row r="293" ht="15.75" customHeight="1" s="165"/>
    <row r="294" ht="15.75" customHeight="1" s="165"/>
    <row r="295" ht="15.75" customHeight="1" s="165"/>
    <row r="296" ht="15.75" customHeight="1" s="165"/>
    <row r="297" ht="15.75" customHeight="1" s="165"/>
    <row r="298" ht="15.75" customHeight="1" s="165"/>
    <row r="299" ht="15.75" customHeight="1" s="165"/>
    <row r="300" ht="15.75" customHeight="1" s="165"/>
    <row r="301" ht="15.75" customHeight="1" s="165"/>
    <row r="302" ht="15.75" customHeight="1" s="165"/>
    <row r="303" ht="15.75" customHeight="1" s="165"/>
    <row r="304" ht="15.75" customHeight="1" s="165"/>
    <row r="305" ht="15.75" customHeight="1" s="165"/>
    <row r="306" ht="15.75" customHeight="1" s="165"/>
    <row r="307" ht="15.75" customHeight="1" s="165"/>
    <row r="308" ht="15.75" customHeight="1" s="165"/>
    <row r="309" ht="15.75" customHeight="1" s="165"/>
    <row r="310" ht="15.75" customHeight="1" s="165"/>
    <row r="311" ht="15.75" customHeight="1" s="165"/>
    <row r="312" ht="15.75" customHeight="1" s="165"/>
    <row r="313" ht="15.75" customHeight="1" s="165"/>
    <row r="314" ht="15.75" customHeight="1" s="165"/>
    <row r="315" ht="15.75" customHeight="1" s="165"/>
    <row r="316" ht="15.75" customHeight="1" s="165"/>
    <row r="317" ht="15.75" customHeight="1" s="165"/>
    <row r="318" ht="15.75" customHeight="1" s="165"/>
    <row r="319" ht="15.75" customHeight="1" s="165"/>
    <row r="320" ht="15.75" customHeight="1" s="165"/>
    <row r="321" ht="15.75" customHeight="1" s="165"/>
    <row r="322" ht="15.75" customHeight="1" s="165"/>
    <row r="323" ht="15.75" customHeight="1" s="165"/>
    <row r="324" ht="15.75" customHeight="1" s="165"/>
    <row r="325" ht="15.75" customHeight="1" s="165"/>
    <row r="326" ht="15.75" customHeight="1" s="165"/>
    <row r="327" ht="15.75" customHeight="1" s="165"/>
    <row r="328" ht="15.75" customHeight="1" s="165"/>
    <row r="329" ht="15.75" customHeight="1" s="165"/>
    <row r="330" ht="15.75" customHeight="1" s="165"/>
    <row r="331" ht="15.75" customHeight="1" s="165"/>
    <row r="332" ht="15.75" customHeight="1" s="165"/>
    <row r="333" ht="15.75" customHeight="1" s="165"/>
    <row r="334" ht="15.75" customHeight="1" s="165"/>
    <row r="335" ht="15.75" customHeight="1" s="165"/>
    <row r="336" ht="15.75" customHeight="1" s="165"/>
    <row r="337" ht="15.75" customHeight="1" s="165"/>
    <row r="338" ht="15.75" customHeight="1" s="165"/>
    <row r="339" ht="15.75" customHeight="1" s="165"/>
    <row r="340" ht="15.75" customHeight="1" s="165"/>
    <row r="341" ht="15.75" customHeight="1" s="165"/>
    <row r="342" ht="15.75" customHeight="1" s="165"/>
    <row r="343" ht="15.75" customHeight="1" s="165"/>
    <row r="344" ht="15.75" customHeight="1" s="165"/>
    <row r="345" ht="15.75" customHeight="1" s="165"/>
    <row r="346" ht="15.75" customHeight="1" s="165"/>
    <row r="347" ht="15.75" customHeight="1" s="165"/>
    <row r="348" ht="15.75" customHeight="1" s="165"/>
    <row r="349" ht="15.75" customHeight="1" s="165"/>
    <row r="350" ht="15.75" customHeight="1" s="165"/>
    <row r="351" ht="15.75" customHeight="1" s="165"/>
    <row r="352" ht="15.75" customHeight="1" s="165"/>
    <row r="353" ht="15.75" customHeight="1" s="165"/>
    <row r="354" ht="15.75" customHeight="1" s="165"/>
    <row r="355" ht="15.75" customHeight="1" s="165"/>
    <row r="356" ht="15.75" customHeight="1" s="165"/>
    <row r="357" ht="15.75" customHeight="1" s="165"/>
    <row r="358" ht="15.75" customHeight="1" s="165"/>
    <row r="359" ht="15.75" customHeight="1" s="165"/>
    <row r="360" ht="15.75" customHeight="1" s="165"/>
    <row r="361" ht="15.75" customHeight="1" s="165"/>
    <row r="362" ht="15.75" customHeight="1" s="165"/>
    <row r="363" ht="15.75" customHeight="1" s="165"/>
    <row r="364" ht="15.75" customHeight="1" s="165"/>
    <row r="365" ht="15.75" customHeight="1" s="165"/>
    <row r="366" ht="15.75" customHeight="1" s="165"/>
    <row r="367" ht="15.75" customHeight="1" s="165"/>
    <row r="368" ht="15.75" customHeight="1" s="165"/>
    <row r="369" ht="15.75" customHeight="1" s="165"/>
    <row r="370" ht="15.75" customHeight="1" s="165"/>
    <row r="371" ht="15.75" customHeight="1" s="165"/>
    <row r="372" ht="15.75" customHeight="1" s="165"/>
    <row r="373" ht="15.75" customHeight="1" s="165"/>
    <row r="374" ht="15.75" customHeight="1" s="165"/>
    <row r="375" ht="15.75" customHeight="1" s="165"/>
    <row r="376" ht="15.75" customHeight="1" s="165"/>
    <row r="377" ht="15.75" customHeight="1" s="165"/>
    <row r="378" ht="15.75" customHeight="1" s="165"/>
    <row r="379" ht="15.75" customHeight="1" s="165"/>
    <row r="380" ht="15.75" customHeight="1" s="165"/>
    <row r="381" ht="15.75" customHeight="1" s="165"/>
    <row r="382" ht="15.75" customHeight="1" s="165"/>
    <row r="383" ht="15.75" customHeight="1" s="165"/>
    <row r="384" ht="15.75" customHeight="1" s="165"/>
    <row r="385" ht="15.75" customHeight="1" s="165"/>
    <row r="386" ht="15.75" customHeight="1" s="165"/>
    <row r="387" ht="15.75" customHeight="1" s="165"/>
    <row r="388" ht="15.75" customHeight="1" s="165"/>
    <row r="389" ht="15.75" customHeight="1" s="165"/>
    <row r="390" ht="15.75" customHeight="1" s="165"/>
    <row r="391" ht="15.75" customHeight="1" s="165"/>
    <row r="392" ht="15.75" customHeight="1" s="165"/>
    <row r="393" ht="15.75" customHeight="1" s="165"/>
    <row r="394" ht="15.75" customHeight="1" s="165"/>
    <row r="395" ht="15.75" customHeight="1" s="165"/>
    <row r="396" ht="15.75" customHeight="1" s="165"/>
    <row r="397" ht="15.75" customHeight="1" s="165"/>
    <row r="398" ht="15.75" customHeight="1" s="165"/>
    <row r="399" ht="15.75" customHeight="1" s="165"/>
    <row r="400" ht="15.75" customHeight="1" s="165"/>
    <row r="401" ht="15.75" customHeight="1" s="165"/>
    <row r="402" ht="15.75" customHeight="1" s="165"/>
    <row r="403" ht="15.75" customHeight="1" s="165"/>
    <row r="404" ht="15.75" customHeight="1" s="165"/>
    <row r="405" ht="15.75" customHeight="1" s="165"/>
    <row r="406" ht="15.75" customHeight="1" s="165"/>
    <row r="407" ht="15.75" customHeight="1" s="165"/>
    <row r="408" ht="15.75" customHeight="1" s="165"/>
    <row r="409" ht="15.75" customHeight="1" s="165"/>
    <row r="410" ht="15.75" customHeight="1" s="165"/>
    <row r="411" ht="15.75" customHeight="1" s="165"/>
    <row r="412" ht="15.75" customHeight="1" s="165"/>
    <row r="413" ht="15.75" customHeight="1" s="165"/>
    <row r="414" ht="15.75" customHeight="1" s="165"/>
    <row r="415" ht="15.75" customHeight="1" s="165"/>
    <row r="416" ht="15.75" customHeight="1" s="165"/>
    <row r="417" ht="15.75" customHeight="1" s="165"/>
    <row r="418" ht="15.75" customHeight="1" s="165"/>
    <row r="419" ht="15.75" customHeight="1" s="165"/>
    <row r="420" ht="15.75" customHeight="1" s="165"/>
    <row r="421" ht="15.75" customHeight="1" s="165"/>
    <row r="422" ht="15.75" customHeight="1" s="165"/>
    <row r="423" ht="15.75" customHeight="1" s="165"/>
    <row r="424" ht="15.75" customHeight="1" s="165"/>
    <row r="425" ht="15.75" customHeight="1" s="165"/>
    <row r="426" ht="15.75" customHeight="1" s="165"/>
    <row r="427" ht="15.75" customHeight="1" s="165"/>
    <row r="428" ht="15.75" customHeight="1" s="165"/>
    <row r="429" ht="15.75" customHeight="1" s="165"/>
    <row r="430" ht="15.75" customHeight="1" s="165"/>
    <row r="431" ht="15.75" customHeight="1" s="165"/>
    <row r="432" ht="15.75" customHeight="1" s="165"/>
    <row r="433" ht="15.75" customHeight="1" s="165"/>
    <row r="434" ht="15.75" customHeight="1" s="165"/>
    <row r="435" ht="15.75" customHeight="1" s="165"/>
    <row r="436" ht="15.75" customHeight="1" s="165"/>
    <row r="437" ht="15.75" customHeight="1" s="165"/>
    <row r="438" ht="15.75" customHeight="1" s="165"/>
    <row r="439" ht="15.75" customHeight="1" s="165"/>
    <row r="440" ht="15.75" customHeight="1" s="165"/>
    <row r="441" ht="15.75" customHeight="1" s="165"/>
    <row r="442" ht="15.75" customHeight="1" s="165"/>
    <row r="443" ht="15.75" customHeight="1" s="165"/>
    <row r="444" ht="15.75" customHeight="1" s="165"/>
    <row r="445" ht="15.75" customHeight="1" s="165"/>
    <row r="446" ht="15.75" customHeight="1" s="165"/>
    <row r="447" ht="15.75" customHeight="1" s="165"/>
    <row r="448" ht="15.75" customHeight="1" s="165"/>
    <row r="449" ht="15.75" customHeight="1" s="165"/>
    <row r="450" ht="15.75" customHeight="1" s="165"/>
    <row r="451" ht="15.75" customHeight="1" s="165"/>
    <row r="452" ht="15.75" customHeight="1" s="165"/>
    <row r="453" ht="15.75" customHeight="1" s="165"/>
    <row r="454" ht="15.75" customHeight="1" s="165"/>
    <row r="455" ht="15.75" customHeight="1" s="165"/>
    <row r="456" ht="15.75" customHeight="1" s="165"/>
    <row r="457" ht="15.75" customHeight="1" s="165"/>
    <row r="458" ht="15.75" customHeight="1" s="165"/>
    <row r="459" ht="15.75" customHeight="1" s="165"/>
    <row r="460" ht="15.75" customHeight="1" s="165"/>
    <row r="461" ht="15.75" customHeight="1" s="165"/>
    <row r="462" ht="15.75" customHeight="1" s="165"/>
    <row r="463" ht="15.75" customHeight="1" s="165"/>
    <row r="464" ht="15.75" customHeight="1" s="165"/>
    <row r="465" ht="15.75" customHeight="1" s="165"/>
    <row r="466" ht="15.75" customHeight="1" s="165"/>
    <row r="467" ht="15.75" customHeight="1" s="165"/>
    <row r="468" ht="15.75" customHeight="1" s="165"/>
    <row r="469" ht="15.75" customHeight="1" s="165"/>
    <row r="470" ht="15.75" customHeight="1" s="165"/>
    <row r="471" ht="15.75" customHeight="1" s="165"/>
    <row r="472" ht="15.75" customHeight="1" s="165"/>
    <row r="473" ht="15.75" customHeight="1" s="165"/>
    <row r="474" ht="15.75" customHeight="1" s="165"/>
    <row r="475" ht="15.75" customHeight="1" s="165"/>
    <row r="476" ht="15.75" customHeight="1" s="165"/>
    <row r="477" ht="15.75" customHeight="1" s="165"/>
    <row r="478" ht="15.75" customHeight="1" s="165"/>
    <row r="479" ht="15.75" customHeight="1" s="165"/>
    <row r="480" ht="15.75" customHeight="1" s="165"/>
    <row r="481" ht="15.75" customHeight="1" s="165"/>
    <row r="482" ht="15.75" customHeight="1" s="165"/>
    <row r="483" ht="15.75" customHeight="1" s="165"/>
    <row r="484" ht="15.75" customHeight="1" s="165"/>
    <row r="485" ht="15.75" customHeight="1" s="165"/>
    <row r="486" ht="15.75" customHeight="1" s="165"/>
    <row r="487" ht="15.75" customHeight="1" s="165"/>
    <row r="488" ht="15.75" customHeight="1" s="165"/>
    <row r="489" ht="15.75" customHeight="1" s="165"/>
    <row r="490" ht="15.75" customHeight="1" s="165"/>
    <row r="491" ht="15.75" customHeight="1" s="165"/>
    <row r="492" ht="15.75" customHeight="1" s="165"/>
    <row r="493" ht="15.75" customHeight="1" s="165"/>
    <row r="494" ht="15.75" customHeight="1" s="165"/>
    <row r="495" ht="15.75" customHeight="1" s="165"/>
    <row r="496" ht="15.75" customHeight="1" s="165"/>
    <row r="497" ht="15.75" customHeight="1" s="165"/>
    <row r="498" ht="15.75" customHeight="1" s="165"/>
    <row r="499" ht="15.75" customHeight="1" s="165"/>
    <row r="500" ht="15.75" customHeight="1" s="165"/>
    <row r="501" ht="15.75" customHeight="1" s="165"/>
    <row r="502" ht="15.75" customHeight="1" s="165"/>
    <row r="503" ht="15.75" customHeight="1" s="165"/>
    <row r="504" ht="15.75" customHeight="1" s="165"/>
    <row r="505" ht="15.75" customHeight="1" s="165"/>
    <row r="506" ht="15.75" customHeight="1" s="165"/>
    <row r="507" ht="15.75" customHeight="1" s="165"/>
    <row r="508" ht="15.75" customHeight="1" s="165"/>
    <row r="509" ht="15.75" customHeight="1" s="165"/>
    <row r="510" ht="15.75" customHeight="1" s="165"/>
    <row r="511" ht="15.75" customHeight="1" s="165"/>
    <row r="512" ht="15.75" customHeight="1" s="165"/>
    <row r="513" ht="15.75" customHeight="1" s="165"/>
    <row r="514" ht="15.75" customHeight="1" s="165"/>
    <row r="515" ht="15.75" customHeight="1" s="165"/>
    <row r="516" ht="15.75" customHeight="1" s="165"/>
    <row r="517" ht="15.75" customHeight="1" s="165"/>
    <row r="518" ht="15.75" customHeight="1" s="165"/>
    <row r="519" ht="15.75" customHeight="1" s="165"/>
    <row r="520" ht="15.75" customHeight="1" s="165"/>
    <row r="521" ht="15.75" customHeight="1" s="165"/>
    <row r="522" ht="15.75" customHeight="1" s="165"/>
    <row r="523" ht="15.75" customHeight="1" s="165"/>
    <row r="524" ht="15.75" customHeight="1" s="165"/>
    <row r="525" ht="15.75" customHeight="1" s="165"/>
    <row r="526" ht="15.75" customHeight="1" s="165"/>
    <row r="527" ht="15.75" customHeight="1" s="165"/>
    <row r="528" ht="15.75" customHeight="1" s="165"/>
    <row r="529" ht="15.75" customHeight="1" s="165"/>
    <row r="530" ht="15.75" customHeight="1" s="165"/>
    <row r="531" ht="15.75" customHeight="1" s="165"/>
    <row r="532" ht="15.75" customHeight="1" s="165"/>
    <row r="533" ht="15.75" customHeight="1" s="165"/>
    <row r="534" ht="15.75" customHeight="1" s="165"/>
    <row r="535" ht="15.75" customHeight="1" s="165"/>
    <row r="536" ht="15.75" customHeight="1" s="165"/>
    <row r="537" ht="15.75" customHeight="1" s="165"/>
    <row r="538" ht="15.75" customHeight="1" s="165"/>
    <row r="539" ht="15.75" customHeight="1" s="165"/>
    <row r="540" ht="15.75" customHeight="1" s="165"/>
    <row r="541" ht="15.75" customHeight="1" s="165"/>
    <row r="542" ht="15.75" customHeight="1" s="165"/>
    <row r="543" ht="15.75" customHeight="1" s="165"/>
    <row r="544" ht="15.75" customHeight="1" s="165"/>
    <row r="545" ht="15.75" customHeight="1" s="165"/>
    <row r="546" ht="15.75" customHeight="1" s="165"/>
    <row r="547" ht="15.75" customHeight="1" s="165"/>
    <row r="548" ht="15.75" customHeight="1" s="165"/>
    <row r="549" ht="15.75" customHeight="1" s="165"/>
    <row r="550" ht="15.75" customHeight="1" s="165"/>
    <row r="551" ht="15.75" customHeight="1" s="165"/>
    <row r="552" ht="15.75" customHeight="1" s="165"/>
    <row r="553" ht="15.75" customHeight="1" s="165"/>
    <row r="554" ht="15.75" customHeight="1" s="165"/>
    <row r="555" ht="15.75" customHeight="1" s="165"/>
    <row r="556" ht="15.75" customHeight="1" s="165"/>
    <row r="557" ht="15.75" customHeight="1" s="165"/>
    <row r="558" ht="15.75" customHeight="1" s="165"/>
    <row r="559" ht="15.75" customHeight="1" s="165"/>
    <row r="560" ht="15.75" customHeight="1" s="165"/>
    <row r="561" ht="15.75" customHeight="1" s="165"/>
    <row r="562" ht="15.75" customHeight="1" s="165"/>
    <row r="563" ht="15.75" customHeight="1" s="165"/>
    <row r="564" ht="15.75" customHeight="1" s="165"/>
    <row r="565" ht="15.75" customHeight="1" s="165"/>
    <row r="566" ht="15.75" customHeight="1" s="165"/>
    <row r="567" ht="15.75" customHeight="1" s="165"/>
    <row r="568" ht="15.75" customHeight="1" s="165"/>
    <row r="569" ht="15.75" customHeight="1" s="165"/>
    <row r="570" ht="15.75" customHeight="1" s="165"/>
    <row r="571" ht="15.75" customHeight="1" s="165"/>
    <row r="572" ht="15.75" customHeight="1" s="165"/>
    <row r="573" ht="15.75" customHeight="1" s="165"/>
    <row r="574" ht="15.75" customHeight="1" s="165"/>
    <row r="575" ht="15.75" customHeight="1" s="165"/>
    <row r="576" ht="15.75" customHeight="1" s="165"/>
    <row r="577" ht="15.75" customHeight="1" s="165"/>
    <row r="578" ht="15.75" customHeight="1" s="165"/>
    <row r="579" ht="15.75" customHeight="1" s="165"/>
    <row r="580" ht="15.75" customHeight="1" s="165"/>
    <row r="581" ht="15.75" customHeight="1" s="165"/>
    <row r="582" ht="15.75" customHeight="1" s="165"/>
    <row r="583" ht="15.75" customHeight="1" s="165"/>
    <row r="584" ht="15.75" customHeight="1" s="165"/>
    <row r="585" ht="15.75" customHeight="1" s="165"/>
    <row r="586" ht="15.75" customHeight="1" s="165"/>
    <row r="587" ht="15.75" customHeight="1" s="165"/>
    <row r="588" ht="15.75" customHeight="1" s="165"/>
    <row r="589" ht="15.75" customHeight="1" s="165"/>
    <row r="590" ht="15.75" customHeight="1" s="165"/>
    <row r="591" ht="15.75" customHeight="1" s="165"/>
    <row r="592" ht="15.75" customHeight="1" s="165"/>
    <row r="593" ht="15.75" customHeight="1" s="165"/>
    <row r="594" ht="15.75" customHeight="1" s="165"/>
    <row r="595" ht="15.75" customHeight="1" s="165"/>
    <row r="596" ht="15.75" customHeight="1" s="165"/>
    <row r="597" ht="15.75" customHeight="1" s="165"/>
    <row r="598" ht="15.75" customHeight="1" s="165"/>
    <row r="599" ht="15.75" customHeight="1" s="165"/>
    <row r="600" ht="15.75" customHeight="1" s="165"/>
    <row r="601" ht="15.75" customHeight="1" s="165"/>
    <row r="602" ht="15.75" customHeight="1" s="165"/>
    <row r="603" ht="15.75" customHeight="1" s="165"/>
    <row r="604" ht="15.75" customHeight="1" s="165"/>
    <row r="605" ht="15.75" customHeight="1" s="165"/>
    <row r="606" ht="15.75" customHeight="1" s="165"/>
    <row r="607" ht="15.75" customHeight="1" s="165"/>
    <row r="608" ht="15.75" customHeight="1" s="165"/>
    <row r="609" ht="15.75" customHeight="1" s="165"/>
    <row r="610" ht="15.75" customHeight="1" s="165"/>
    <row r="611" ht="15.75" customHeight="1" s="165"/>
    <row r="612" ht="15.75" customHeight="1" s="165"/>
    <row r="613" ht="15.75" customHeight="1" s="165"/>
    <row r="614" ht="15.75" customHeight="1" s="165"/>
    <row r="615" ht="15.75" customHeight="1" s="165"/>
    <row r="616" ht="15.75" customHeight="1" s="165"/>
    <row r="617" ht="15.75" customHeight="1" s="165"/>
    <row r="618" ht="15.75" customHeight="1" s="165"/>
    <row r="619" ht="15.75" customHeight="1" s="165"/>
    <row r="620" ht="15.75" customHeight="1" s="165"/>
    <row r="621" ht="15.75" customHeight="1" s="165"/>
    <row r="622" ht="15.75" customHeight="1" s="165"/>
    <row r="623" ht="15.75" customHeight="1" s="165"/>
    <row r="624" ht="15.75" customHeight="1" s="165"/>
    <row r="625" ht="15.75" customHeight="1" s="165"/>
    <row r="626" ht="15.75" customHeight="1" s="165"/>
    <row r="627" ht="15.75" customHeight="1" s="165"/>
    <row r="628" ht="15.75" customHeight="1" s="165"/>
    <row r="629" ht="15.75" customHeight="1" s="165"/>
    <row r="630" ht="15.75" customHeight="1" s="165"/>
    <row r="631" ht="15.75" customHeight="1" s="165"/>
    <row r="632" ht="15.75" customHeight="1" s="165"/>
    <row r="633" ht="15.75" customHeight="1" s="165"/>
    <row r="634" ht="15.75" customHeight="1" s="165"/>
    <row r="635" ht="15.75" customHeight="1" s="165"/>
    <row r="636" ht="15.75" customHeight="1" s="165"/>
    <row r="637" ht="15.75" customHeight="1" s="165"/>
    <row r="638" ht="15.75" customHeight="1" s="165"/>
    <row r="639" ht="15.75" customHeight="1" s="165"/>
    <row r="640" ht="15.75" customHeight="1" s="165"/>
    <row r="641" ht="15.75" customHeight="1" s="165"/>
    <row r="642" ht="15.75" customHeight="1" s="165"/>
    <row r="643" ht="15.75" customHeight="1" s="165"/>
    <row r="644" ht="15.75" customHeight="1" s="165"/>
    <row r="645" ht="15.75" customHeight="1" s="165"/>
    <row r="646" ht="15.75" customHeight="1" s="165"/>
    <row r="647" ht="15.75" customHeight="1" s="165"/>
    <row r="648" ht="15.75" customHeight="1" s="165"/>
    <row r="649" ht="15.75" customHeight="1" s="165"/>
    <row r="650" ht="15.75" customHeight="1" s="165"/>
    <row r="651" ht="15.75" customHeight="1" s="165"/>
    <row r="652" ht="15.75" customHeight="1" s="165"/>
    <row r="653" ht="15.75" customHeight="1" s="165"/>
    <row r="654" ht="15.75" customHeight="1" s="165"/>
    <row r="655" ht="15.75" customHeight="1" s="165"/>
    <row r="656" ht="15.75" customHeight="1" s="165"/>
    <row r="657" ht="15.75" customHeight="1" s="165"/>
    <row r="658" ht="15.75" customHeight="1" s="165"/>
    <row r="659" ht="15.75" customHeight="1" s="165"/>
    <row r="660" ht="15.75" customHeight="1" s="165"/>
    <row r="661" ht="15.75" customHeight="1" s="165"/>
    <row r="662" ht="15.75" customHeight="1" s="165"/>
    <row r="663" ht="15.75" customHeight="1" s="165"/>
    <row r="664" ht="15.75" customHeight="1" s="165"/>
    <row r="665" ht="15.75" customHeight="1" s="165"/>
    <row r="666" ht="15.75" customHeight="1" s="165"/>
    <row r="667" ht="15.75" customHeight="1" s="165"/>
    <row r="668" ht="15.75" customHeight="1" s="165"/>
    <row r="669" ht="15.75" customHeight="1" s="165"/>
    <row r="670" ht="15.75" customHeight="1" s="165"/>
    <row r="671" ht="15.75" customHeight="1" s="165"/>
    <row r="672" ht="15.75" customHeight="1" s="165"/>
    <row r="673" ht="15.75" customHeight="1" s="165"/>
    <row r="674" ht="15.75" customHeight="1" s="165"/>
    <row r="675" ht="15.75" customHeight="1" s="165"/>
    <row r="676" ht="15.75" customHeight="1" s="165"/>
    <row r="677" ht="15.75" customHeight="1" s="165"/>
    <row r="678" ht="15.75" customHeight="1" s="165"/>
    <row r="679" ht="15.75" customHeight="1" s="165"/>
    <row r="680" ht="15.75" customHeight="1" s="165"/>
    <row r="681" ht="15.75" customHeight="1" s="165"/>
    <row r="682" ht="15.75" customHeight="1" s="165"/>
    <row r="683" ht="15.75" customHeight="1" s="165"/>
    <row r="684" ht="15.75" customHeight="1" s="165"/>
    <row r="685" ht="15.75" customHeight="1" s="165"/>
    <row r="686" ht="15.75" customHeight="1" s="165"/>
    <row r="687" ht="15.75" customHeight="1" s="165"/>
    <row r="688" ht="15.75" customHeight="1" s="165"/>
    <row r="689" ht="15.75" customHeight="1" s="165"/>
    <row r="690" ht="15.75" customHeight="1" s="165"/>
    <row r="691" ht="15.75" customHeight="1" s="165"/>
    <row r="692" ht="15.75" customHeight="1" s="165"/>
    <row r="693" ht="15.75" customHeight="1" s="165"/>
    <row r="694" ht="15.75" customHeight="1" s="165"/>
    <row r="695" ht="15.75" customHeight="1" s="165"/>
    <row r="696" ht="15.75" customHeight="1" s="165"/>
    <row r="697" ht="15.75" customHeight="1" s="165"/>
    <row r="698" ht="15.75" customHeight="1" s="165"/>
    <row r="699" ht="15.75" customHeight="1" s="165"/>
    <row r="700" ht="15.75" customHeight="1" s="165"/>
    <row r="701" ht="15.75" customHeight="1" s="165"/>
    <row r="702" ht="15.75" customHeight="1" s="165"/>
    <row r="703" ht="15.75" customHeight="1" s="165"/>
    <row r="704" ht="15.75" customHeight="1" s="165"/>
    <row r="705" ht="15.75" customHeight="1" s="165"/>
    <row r="706" ht="15.75" customHeight="1" s="165"/>
    <row r="707" ht="15.75" customHeight="1" s="165"/>
    <row r="708" ht="15.75" customHeight="1" s="165"/>
    <row r="709" ht="15.75" customHeight="1" s="165"/>
    <row r="710" ht="15.75" customHeight="1" s="165"/>
    <row r="711" ht="15.75" customHeight="1" s="165"/>
    <row r="712" ht="15.75" customHeight="1" s="165"/>
    <row r="713" ht="15.75" customHeight="1" s="165"/>
    <row r="714" ht="15.75" customHeight="1" s="165"/>
    <row r="715" ht="15.75" customHeight="1" s="165"/>
    <row r="716" ht="15.75" customHeight="1" s="165"/>
    <row r="717" ht="15.75" customHeight="1" s="165"/>
    <row r="718" ht="15.75" customHeight="1" s="165"/>
    <row r="719" ht="15.75" customHeight="1" s="165"/>
    <row r="720" ht="15.75" customHeight="1" s="165"/>
    <row r="721" ht="15.75" customHeight="1" s="165"/>
    <row r="722" ht="15.75" customHeight="1" s="165"/>
    <row r="723" ht="15.75" customHeight="1" s="165"/>
    <row r="724" ht="15.75" customHeight="1" s="165"/>
    <row r="725" ht="15.75" customHeight="1" s="165"/>
    <row r="726" ht="15.75" customHeight="1" s="165"/>
    <row r="727" ht="15.75" customHeight="1" s="165"/>
    <row r="728" ht="15.75" customHeight="1" s="165"/>
    <row r="729" ht="15.75" customHeight="1" s="165"/>
    <row r="730" ht="15.75" customHeight="1" s="165"/>
    <row r="731" ht="15.75" customHeight="1" s="165"/>
    <row r="732" ht="15.75" customHeight="1" s="165"/>
    <row r="733" ht="15.75" customHeight="1" s="165"/>
    <row r="734" ht="15.75" customHeight="1" s="165"/>
    <row r="735" ht="15.75" customHeight="1" s="165"/>
    <row r="736" ht="15.75" customHeight="1" s="165"/>
    <row r="737" ht="15.75" customHeight="1" s="165"/>
    <row r="738" ht="15.75" customHeight="1" s="165"/>
    <row r="739" ht="15.75" customHeight="1" s="165"/>
    <row r="740" ht="15.75" customHeight="1" s="165"/>
    <row r="741" ht="15.75" customHeight="1" s="165"/>
    <row r="742" ht="15.75" customHeight="1" s="165"/>
    <row r="743" ht="15.75" customHeight="1" s="165"/>
    <row r="744" ht="15.75" customHeight="1" s="165"/>
    <row r="745" ht="15.75" customHeight="1" s="165"/>
    <row r="746" ht="15.75" customHeight="1" s="165"/>
    <row r="747" ht="15.75" customHeight="1" s="165"/>
    <row r="748" ht="15.75" customHeight="1" s="165"/>
    <row r="749" ht="15.75" customHeight="1" s="165"/>
    <row r="750" ht="15.75" customHeight="1" s="165"/>
    <row r="751" ht="15.75" customHeight="1" s="165"/>
    <row r="752" ht="15.75" customHeight="1" s="165"/>
    <row r="753" ht="15.75" customHeight="1" s="165"/>
    <row r="754" ht="15.75" customHeight="1" s="165"/>
    <row r="755" ht="15.75" customHeight="1" s="165"/>
    <row r="756" ht="15.75" customHeight="1" s="165"/>
    <row r="757" ht="15.75" customHeight="1" s="165"/>
    <row r="758" ht="15.75" customHeight="1" s="165"/>
    <row r="759" ht="15.75" customHeight="1" s="165"/>
    <row r="760" ht="15.75" customHeight="1" s="165"/>
    <row r="761" ht="15.75" customHeight="1" s="165"/>
    <row r="762" ht="15.75" customHeight="1" s="165"/>
    <row r="763" ht="15.75" customHeight="1" s="165"/>
    <row r="764" ht="15.75" customHeight="1" s="165"/>
    <row r="765" ht="15.75" customHeight="1" s="165"/>
    <row r="766" ht="15.75" customHeight="1" s="165"/>
    <row r="767" ht="15.75" customHeight="1" s="165"/>
    <row r="768" ht="15.75" customHeight="1" s="165"/>
    <row r="769" ht="15.75" customHeight="1" s="165"/>
    <row r="770" ht="15.75" customHeight="1" s="165"/>
    <row r="771" ht="15.75" customHeight="1" s="165"/>
    <row r="772" ht="15.75" customHeight="1" s="165"/>
    <row r="773" ht="15.75" customHeight="1" s="165"/>
    <row r="774" ht="15.75" customHeight="1" s="165"/>
    <row r="775" ht="15.75" customHeight="1" s="165"/>
    <row r="776" ht="15.75" customHeight="1" s="165"/>
    <row r="777" ht="15.75" customHeight="1" s="165"/>
    <row r="778" ht="15.75" customHeight="1" s="165"/>
    <row r="779" ht="15.75" customHeight="1" s="165"/>
    <row r="780" ht="15.75" customHeight="1" s="165"/>
    <row r="781" ht="15.75" customHeight="1" s="165"/>
    <row r="782" ht="15.75" customHeight="1" s="165"/>
    <row r="783" ht="15.75" customHeight="1" s="165"/>
    <row r="784" ht="15.75" customHeight="1" s="165"/>
    <row r="785" ht="15.75" customHeight="1" s="165"/>
    <row r="786" ht="15.75" customHeight="1" s="165"/>
    <row r="787" ht="15.75" customHeight="1" s="165"/>
    <row r="788" ht="15.75" customHeight="1" s="165"/>
    <row r="789" ht="15.75" customHeight="1" s="165"/>
    <row r="790" ht="15.75" customHeight="1" s="165"/>
    <row r="791" ht="15.75" customHeight="1" s="165"/>
    <row r="792" ht="15.75" customHeight="1" s="165"/>
    <row r="793" ht="15.75" customHeight="1" s="165"/>
    <row r="794" ht="15.75" customHeight="1" s="165"/>
    <row r="795" ht="15.75" customHeight="1" s="165"/>
    <row r="796" ht="15.75" customHeight="1" s="165"/>
    <row r="797" ht="15.75" customHeight="1" s="165"/>
    <row r="798" ht="15.75" customHeight="1" s="165"/>
    <row r="799" ht="15.75" customHeight="1" s="165"/>
    <row r="800" ht="15.75" customHeight="1" s="165"/>
    <row r="801" ht="15.75" customHeight="1" s="165"/>
    <row r="802" ht="15.75" customHeight="1" s="165"/>
    <row r="803" ht="15.75" customHeight="1" s="165"/>
    <row r="804" ht="15.75" customHeight="1" s="165"/>
    <row r="805" ht="15.75" customHeight="1" s="165"/>
    <row r="806" ht="15.75" customHeight="1" s="165"/>
    <row r="807" ht="15.75" customHeight="1" s="165"/>
    <row r="808" ht="15.75" customHeight="1" s="165"/>
    <row r="809" ht="15.75" customHeight="1" s="165"/>
    <row r="810" ht="15.75" customHeight="1" s="165"/>
    <row r="811" ht="15.75" customHeight="1" s="165"/>
    <row r="812" ht="15.75" customHeight="1" s="165"/>
    <row r="813" ht="15.75" customHeight="1" s="165"/>
    <row r="814" ht="15.75" customHeight="1" s="165"/>
    <row r="815" ht="15.75" customHeight="1" s="165"/>
    <row r="816" ht="15.75" customHeight="1" s="165"/>
    <row r="817" ht="15.75" customHeight="1" s="165"/>
    <row r="818" ht="15.75" customHeight="1" s="165"/>
    <row r="819" ht="15.75" customHeight="1" s="165"/>
    <row r="820" ht="15.75" customHeight="1" s="165"/>
    <row r="821" ht="15.75" customHeight="1" s="165"/>
    <row r="822" ht="15.75" customHeight="1" s="165"/>
    <row r="823" ht="15.75" customHeight="1" s="165"/>
    <row r="824" ht="15.75" customHeight="1" s="165"/>
    <row r="825" ht="15.75" customHeight="1" s="165"/>
    <row r="826" ht="15.75" customHeight="1" s="165"/>
    <row r="827" ht="15.75" customHeight="1" s="165"/>
    <row r="828" ht="15.75" customHeight="1" s="165"/>
    <row r="829" ht="15.75" customHeight="1" s="165"/>
    <row r="830" ht="15.75" customHeight="1" s="165"/>
    <row r="831" ht="15.75" customHeight="1" s="165"/>
    <row r="832" ht="15.75" customHeight="1" s="165"/>
    <row r="833" ht="15.75" customHeight="1" s="165"/>
    <row r="834" ht="15.75" customHeight="1" s="165"/>
    <row r="835" ht="15.75" customHeight="1" s="165"/>
    <row r="836" ht="15.75" customHeight="1" s="165"/>
    <row r="837" ht="15.75" customHeight="1" s="165"/>
    <row r="838" ht="15.75" customHeight="1" s="165"/>
    <row r="839" ht="15.75" customHeight="1" s="165"/>
    <row r="840" ht="15.75" customHeight="1" s="165"/>
    <row r="841" ht="15.75" customHeight="1" s="165"/>
    <row r="842" ht="15.75" customHeight="1" s="165"/>
    <row r="843" ht="15.75" customHeight="1" s="165"/>
    <row r="844" ht="15.75" customHeight="1" s="165"/>
    <row r="845" ht="15.75" customHeight="1" s="165"/>
    <row r="846" ht="15.75" customHeight="1" s="165"/>
    <row r="847" ht="15.75" customHeight="1" s="165"/>
    <row r="848" ht="15.75" customHeight="1" s="165"/>
    <row r="849" ht="15.75" customHeight="1" s="165"/>
    <row r="850" ht="15.75" customHeight="1" s="165"/>
    <row r="851" ht="15.75" customHeight="1" s="165"/>
    <row r="852" ht="15.75" customHeight="1" s="165"/>
    <row r="853" ht="15.75" customHeight="1" s="165"/>
    <row r="854" ht="15.75" customHeight="1" s="165"/>
    <row r="855" ht="15.75" customHeight="1" s="165"/>
    <row r="856" ht="15.75" customHeight="1" s="165"/>
    <row r="857" ht="15.75" customHeight="1" s="165"/>
    <row r="858" ht="15.75" customHeight="1" s="165"/>
    <row r="859" ht="15.75" customHeight="1" s="165"/>
    <row r="860" ht="15.75" customHeight="1" s="165"/>
    <row r="861" ht="15.75" customHeight="1" s="165"/>
    <row r="862" ht="15.75" customHeight="1" s="165"/>
    <row r="863" ht="15.75" customHeight="1" s="165"/>
    <row r="864" ht="15.75" customHeight="1" s="165"/>
    <row r="865" ht="15.75" customHeight="1" s="165"/>
    <row r="866" ht="15.75" customHeight="1" s="165"/>
    <row r="867" ht="15.75" customHeight="1" s="165"/>
    <row r="868" ht="15.75" customHeight="1" s="165"/>
    <row r="869" ht="15.75" customHeight="1" s="165"/>
    <row r="870" ht="15.75" customHeight="1" s="165"/>
    <row r="871" ht="15.75" customHeight="1" s="165"/>
    <row r="872" ht="15.75" customHeight="1" s="165"/>
    <row r="873" ht="15.75" customHeight="1" s="165"/>
    <row r="874" ht="15.75" customHeight="1" s="165"/>
    <row r="875" ht="15.75" customHeight="1" s="165"/>
    <row r="876" ht="15.75" customHeight="1" s="165"/>
    <row r="877" ht="15.75" customHeight="1" s="165"/>
    <row r="878" ht="15.75" customHeight="1" s="165"/>
    <row r="879" ht="15.75" customHeight="1" s="165"/>
    <row r="880" ht="15.75" customHeight="1" s="165"/>
    <row r="881" ht="15.75" customHeight="1" s="165"/>
    <row r="882" ht="15.75" customHeight="1" s="165"/>
    <row r="883" ht="15.75" customHeight="1" s="165"/>
    <row r="884" ht="15.75" customHeight="1" s="165"/>
    <row r="885" ht="15.75" customHeight="1" s="165"/>
    <row r="886" ht="15.75" customHeight="1" s="165"/>
    <row r="887" ht="15.75" customHeight="1" s="165"/>
    <row r="888" ht="15.75" customHeight="1" s="165"/>
    <row r="889" ht="15.75" customHeight="1" s="165"/>
    <row r="890" ht="15.75" customHeight="1" s="165"/>
    <row r="891" ht="15.75" customHeight="1" s="165"/>
    <row r="892" ht="15.75" customHeight="1" s="165"/>
    <row r="893" ht="15.75" customHeight="1" s="165"/>
    <row r="894" ht="15.75" customHeight="1" s="165"/>
    <row r="895" ht="15.75" customHeight="1" s="165"/>
    <row r="896" ht="15.75" customHeight="1" s="165"/>
    <row r="897" ht="15.75" customHeight="1" s="165"/>
    <row r="898" ht="15.75" customHeight="1" s="165"/>
    <row r="899" ht="15.75" customHeight="1" s="165"/>
    <row r="900" ht="15.75" customHeight="1" s="165"/>
    <row r="901" ht="15.75" customHeight="1" s="165"/>
    <row r="902" ht="15.75" customHeight="1" s="165"/>
    <row r="903" ht="15.75" customHeight="1" s="165"/>
    <row r="904" ht="15.75" customHeight="1" s="165"/>
    <row r="905" ht="15.75" customHeight="1" s="165"/>
    <row r="906" ht="15.75" customHeight="1" s="165"/>
    <row r="907" ht="15.75" customHeight="1" s="165"/>
    <row r="908" ht="15.75" customHeight="1" s="165"/>
    <row r="909" ht="15.75" customHeight="1" s="165"/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headerFooter>
    <oddHeader>&amp;LFacilitate_Test Case\Company&amp;Rv1.0</oddHeader>
    <oddFooter>&amp;L 02ae-BM/PM/HDCV/FSOFT v2/0&amp;CInternal use&amp;R&amp;P/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214"/>
  <sheetViews>
    <sheetView workbookViewId="0">
      <pane ySplit="10" topLeftCell="A11" activePane="bottomLeft" state="frozen"/>
      <selection pane="bottomLeft" activeCell="B12" sqref="B12"/>
    </sheetView>
  </sheetViews>
  <sheetFormatPr baseColWidth="8" defaultColWidth="12.63" defaultRowHeight="15" customHeight="1" outlineLevelRow="1"/>
  <cols>
    <col width="37.13" customWidth="1" style="165" min="1" max="1"/>
    <col width="40.13" customWidth="1" style="165" min="2" max="2"/>
    <col width="93.88" customWidth="1" style="165" min="3" max="3"/>
    <col width="77.88" customWidth="1" style="165" min="4" max="4"/>
    <col width="29.88" customWidth="1" style="165" min="5" max="5"/>
    <col width="7.5" customWidth="1" style="165" min="6" max="6"/>
    <col outlineLevel="1" width="8.630000000000001" customWidth="1" style="165" min="7" max="7"/>
    <col outlineLevel="1" width="14.75" customWidth="1" style="165" min="8" max="8"/>
    <col width="7.5" customWidth="1" style="165" min="9" max="9"/>
    <col outlineLevel="1" width="8.630000000000001" customWidth="1" style="165" min="10" max="10"/>
    <col outlineLevel="1" width="6.13" customWidth="1" style="165" min="11" max="11"/>
    <col width="7.5" customWidth="1" style="165" min="12" max="12"/>
    <col outlineLevel="1" width="8.630000000000001" customWidth="1" style="165" min="13" max="13"/>
    <col outlineLevel="1" width="6.13" customWidth="1" style="165" min="14" max="14"/>
    <col width="38.13" customWidth="1" style="165" min="15" max="15"/>
    <col width="10.13" customWidth="1" style="165" min="16" max="16"/>
    <col width="8.130000000000001" customWidth="1" style="165" min="17" max="17"/>
    <col width="6.5" customWidth="1" style="165" min="18" max="18"/>
    <col width="9" customWidth="1" style="165" min="19" max="26"/>
  </cols>
  <sheetData>
    <row r="1" ht="12.75" customHeight="1" s="165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5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5" customHeight="1" s="165">
      <c r="A2" s="200" t="inlineStr">
        <is>
          <t>Workflow</t>
        </is>
      </c>
      <c r="B2" s="201" t="inlineStr">
        <is>
          <t>Iteration 1 - Login</t>
        </is>
      </c>
      <c r="C2" s="196" t="n"/>
      <c r="D2" s="196" t="n"/>
      <c r="E2" s="197" t="n"/>
      <c r="F2" s="202" t="n"/>
      <c r="G2" s="203" t="n"/>
      <c r="H2" s="204" t="n"/>
      <c r="I2" s="202" t="n"/>
      <c r="J2" s="203" t="n"/>
      <c r="K2" s="204" t="n"/>
      <c r="L2" s="202" t="n"/>
      <c r="M2" s="203" t="n"/>
      <c r="N2" s="204" t="n"/>
      <c r="O2" s="204" t="n"/>
      <c r="P2" s="204" t="n"/>
      <c r="Q2" s="205" t="n"/>
      <c r="R2" s="122" t="inlineStr">
        <is>
          <t>Passed</t>
        </is>
      </c>
      <c r="S2" s="122" t="n"/>
      <c r="T2" s="122" t="n"/>
      <c r="U2" s="122" t="n"/>
      <c r="V2" s="122" t="n"/>
      <c r="W2" s="122" t="n"/>
      <c r="X2" s="122" t="n"/>
      <c r="Y2" s="122" t="n"/>
      <c r="Z2" s="122" t="n"/>
    </row>
    <row r="3" ht="12.75" customHeight="1" s="165">
      <c r="A3" s="206" t="inlineStr">
        <is>
          <t>Test requirement</t>
        </is>
      </c>
      <c r="B3" s="207" t="inlineStr">
        <is>
          <t xml:space="preserve">Covers Iteration 1 operational functions only: prepare contract, configure payment method and process handover. Round 1 is Pending until the demo build is executed.
</t>
        </is>
      </c>
      <c r="C3" s="167" t="n"/>
      <c r="D3" s="167" t="n"/>
      <c r="E3" s="199" t="n"/>
      <c r="F3" s="202" t="n"/>
      <c r="G3" s="203" t="n"/>
      <c r="H3" s="204" t="n"/>
      <c r="I3" s="202" t="n"/>
      <c r="J3" s="203" t="n"/>
      <c r="K3" s="204" t="n"/>
      <c r="L3" s="202" t="n"/>
      <c r="M3" s="203" t="n"/>
      <c r="N3" s="204" t="n"/>
      <c r="O3" s="204" t="n"/>
      <c r="P3" s="204" t="n"/>
      <c r="Q3" s="205" t="n"/>
      <c r="R3" s="122" t="inlineStr">
        <is>
          <t>Failed</t>
        </is>
      </c>
      <c r="S3" s="122" t="n"/>
      <c r="T3" s="122" t="n"/>
      <c r="U3" s="122" t="n"/>
      <c r="V3" s="122" t="n"/>
      <c r="W3" s="122" t="n"/>
      <c r="X3" s="122" t="n"/>
      <c r="Y3" s="122" t="n"/>
      <c r="Z3" s="122" t="n"/>
    </row>
    <row r="4" ht="18" customHeight="1" s="165">
      <c r="A4" s="206" t="inlineStr">
        <is>
          <t>Number of TCs</t>
        </is>
      </c>
      <c r="B4" s="207" t="n">
        <v>4</v>
      </c>
      <c r="C4" s="167" t="n"/>
      <c r="D4" s="167" t="n"/>
      <c r="E4" s="199" t="n"/>
      <c r="F4" s="202" t="n"/>
      <c r="G4" s="203" t="n"/>
      <c r="H4" s="204" t="n"/>
      <c r="I4" s="202" t="n"/>
      <c r="J4" s="203" t="n"/>
      <c r="K4" s="204" t="n"/>
      <c r="L4" s="202" t="n"/>
      <c r="M4" s="203" t="n"/>
      <c r="N4" s="204" t="n"/>
      <c r="O4" s="204" t="n"/>
      <c r="P4" s="204" t="n"/>
      <c r="Q4" s="205" t="n"/>
      <c r="R4" s="122" t="inlineStr">
        <is>
          <t>Pending</t>
        </is>
      </c>
      <c r="S4" s="122" t="n"/>
      <c r="T4" s="122" t="n"/>
      <c r="U4" s="122" t="n"/>
      <c r="V4" s="122" t="n"/>
      <c r="W4" s="122" t="n"/>
      <c r="X4" s="122" t="n"/>
      <c r="Y4" s="122" t="n"/>
      <c r="Z4" s="122" t="n"/>
    </row>
    <row r="5" ht="19.5" customHeight="1" s="165">
      <c r="A5" s="208" t="inlineStr">
        <is>
          <t>Testing Round</t>
        </is>
      </c>
      <c r="B5" s="209" t="inlineStr">
        <is>
          <t>Passed</t>
        </is>
      </c>
      <c r="C5" s="209" t="inlineStr">
        <is>
          <t>Failed</t>
        </is>
      </c>
      <c r="D5" s="209" t="inlineStr">
        <is>
          <t>Pending</t>
        </is>
      </c>
      <c r="E5" s="210" t="inlineStr">
        <is>
          <t>N/A</t>
        </is>
      </c>
      <c r="F5" s="211" t="n"/>
      <c r="G5" s="211" t="n"/>
      <c r="H5" s="194" t="n"/>
      <c r="I5" s="211" t="n"/>
      <c r="J5" s="211" t="n"/>
      <c r="K5" s="194" t="n"/>
      <c r="L5" s="211" t="n"/>
      <c r="M5" s="211" t="n"/>
      <c r="N5" s="194" t="n"/>
      <c r="O5" s="194" t="n"/>
      <c r="P5" s="194" t="n"/>
      <c r="Q5" s="212" t="n"/>
      <c r="R5" s="122" t="inlineStr">
        <is>
          <t>N/A</t>
        </is>
      </c>
      <c r="S5" s="122" t="n"/>
      <c r="T5" s="122" t="n"/>
      <c r="U5" s="122" t="n"/>
      <c r="V5" s="122" t="n"/>
      <c r="W5" s="122" t="n"/>
      <c r="X5" s="122" t="n"/>
      <c r="Y5" s="122" t="n"/>
      <c r="Z5" s="122" t="n"/>
    </row>
    <row r="6" ht="15" customHeight="1" s="165">
      <c r="A6" s="208" t="inlineStr">
        <is>
          <t>Round 1</t>
        </is>
      </c>
      <c r="B6" s="213">
        <f>COUNTIF($F10:$F990,B5)</f>
        <v/>
      </c>
      <c r="C6" s="213">
        <f>COUNTIF($F10:$F990,C5)</f>
        <v/>
      </c>
      <c r="D6" s="213">
        <f>COUNTIF($F10:$F990,D5)</f>
        <v/>
      </c>
      <c r="E6" s="214">
        <f>COUNTIF($F10:$F990,E5)</f>
        <v/>
      </c>
      <c r="F6" s="215" t="n"/>
      <c r="G6" s="215" t="n"/>
      <c r="H6" s="194" t="n"/>
      <c r="I6" s="215" t="n"/>
      <c r="J6" s="215" t="n"/>
      <c r="K6" s="194" t="n"/>
      <c r="L6" s="215" t="n"/>
      <c r="M6" s="215" t="n"/>
      <c r="N6" s="194" t="n"/>
      <c r="O6" s="194" t="n"/>
      <c r="P6" s="194" t="n"/>
      <c r="Q6" s="212" t="n"/>
      <c r="R6" s="122" t="n"/>
      <c r="S6" s="122" t="n"/>
      <c r="T6" s="122" t="n"/>
      <c r="U6" s="122" t="n"/>
      <c r="V6" s="122" t="n"/>
      <c r="W6" s="122" t="n"/>
      <c r="X6" s="122" t="n"/>
      <c r="Y6" s="122" t="n"/>
      <c r="Z6" s="122" t="n"/>
    </row>
    <row r="7" ht="15" customHeight="1" s="165">
      <c r="A7" s="208" t="inlineStr">
        <is>
          <t>Round 2</t>
        </is>
      </c>
      <c r="B7" s="213" t="n">
        <v>0</v>
      </c>
      <c r="C7" s="213">
        <f>COUNTIF($F10:$F990,C5)</f>
        <v/>
      </c>
      <c r="D7" s="213" t="n">
        <v>0</v>
      </c>
      <c r="E7" s="214">
        <f>B$4-B7-C7-D7</f>
        <v/>
      </c>
      <c r="F7" s="215" t="n"/>
      <c r="G7" s="215" t="n"/>
      <c r="H7" s="194" t="n"/>
      <c r="I7" s="215" t="n"/>
      <c r="J7" s="215" t="n"/>
      <c r="K7" s="194" t="n"/>
      <c r="L7" s="215" t="n"/>
      <c r="M7" s="215" t="n"/>
      <c r="N7" s="194" t="n"/>
      <c r="O7" s="194" t="n"/>
      <c r="P7" s="194" t="n"/>
      <c r="Q7" s="212" t="n"/>
      <c r="R7" s="122" t="n"/>
      <c r="S7" s="122" t="n"/>
      <c r="T7" s="122" t="n"/>
      <c r="U7" s="122" t="n"/>
      <c r="V7" s="122" t="n"/>
      <c r="W7" s="122" t="n"/>
      <c r="X7" s="122" t="n"/>
      <c r="Y7" s="122" t="n"/>
      <c r="Z7" s="122" t="n"/>
    </row>
    <row r="8" ht="15" customHeight="1" s="165">
      <c r="A8" s="216" t="inlineStr">
        <is>
          <t>Round 3</t>
        </is>
      </c>
      <c r="B8" s="217" t="n">
        <v>0</v>
      </c>
      <c r="C8" s="217">
        <f>COUNTIF($F10:$F990,C5)</f>
        <v/>
      </c>
      <c r="D8" s="217" t="n">
        <v>0</v>
      </c>
      <c r="E8" s="218">
        <f>B$4-B8-C8-D8</f>
        <v/>
      </c>
      <c r="F8" s="215" t="n"/>
      <c r="G8" s="215" t="n"/>
      <c r="H8" s="194" t="n"/>
      <c r="I8" s="215" t="n"/>
      <c r="J8" s="215" t="n"/>
      <c r="K8" s="194" t="n"/>
      <c r="L8" s="215" t="n"/>
      <c r="M8" s="215" t="n"/>
      <c r="N8" s="194" t="n"/>
      <c r="O8" s="194" t="n"/>
      <c r="P8" s="194" t="n"/>
      <c r="Q8" s="212" t="n"/>
      <c r="R8" s="122" t="n"/>
      <c r="S8" s="122" t="n"/>
      <c r="T8" s="122" t="n"/>
      <c r="U8" s="122" t="n"/>
      <c r="V8" s="122" t="n"/>
      <c r="W8" s="122" t="n"/>
      <c r="X8" s="122" t="n"/>
      <c r="Y8" s="122" t="n"/>
      <c r="Z8" s="122" t="n"/>
    </row>
    <row r="9" ht="15" customHeight="1" s="165">
      <c r="A9" s="194" t="n"/>
      <c r="B9" s="194" t="n"/>
      <c r="C9" s="194" t="n"/>
      <c r="D9" s="194" t="n"/>
      <c r="E9" s="194" t="n"/>
      <c r="F9" s="219" t="n"/>
      <c r="G9" s="194" t="n"/>
      <c r="H9" s="194" t="n"/>
      <c r="I9" s="219" t="n"/>
      <c r="J9" s="194" t="n"/>
      <c r="K9" s="194" t="n"/>
      <c r="L9" s="219" t="n"/>
      <c r="M9" s="194" t="n"/>
      <c r="N9" s="194" t="n"/>
      <c r="O9" s="194" t="n"/>
      <c r="P9" s="194" t="n"/>
      <c r="Q9" s="212" t="n"/>
      <c r="R9" s="122" t="n"/>
      <c r="S9" s="122" t="n"/>
      <c r="T9" s="122" t="n"/>
      <c r="U9" s="122" t="n"/>
      <c r="V9" s="122" t="n"/>
      <c r="W9" s="122" t="n"/>
      <c r="X9" s="122" t="n"/>
      <c r="Y9" s="122" t="n"/>
      <c r="Z9" s="122" t="n"/>
    </row>
    <row r="10" ht="25.5" customHeight="1" s="165">
      <c r="A10" s="220" t="inlineStr">
        <is>
          <t>Test Case ID</t>
        </is>
      </c>
      <c r="B10" s="220" t="inlineStr">
        <is>
          <t>Test Case Description</t>
        </is>
      </c>
      <c r="C10" s="220" t="inlineStr">
        <is>
          <t>Test Case Procedure</t>
        </is>
      </c>
      <c r="D10" s="220" t="inlineStr">
        <is>
          <t>Expected Results</t>
        </is>
      </c>
      <c r="E10" s="220" t="inlineStr">
        <is>
          <t>Pre-conditions</t>
        </is>
      </c>
      <c r="F10" s="220" t="inlineStr">
        <is>
          <t>Round 1</t>
        </is>
      </c>
      <c r="G10" s="220" t="inlineStr">
        <is>
          <t>Test date</t>
        </is>
      </c>
      <c r="H10" s="220" t="inlineStr">
        <is>
          <t>Tester</t>
        </is>
      </c>
      <c r="I10" s="220" t="inlineStr">
        <is>
          <t>Round 2</t>
        </is>
      </c>
      <c r="J10" s="220" t="inlineStr">
        <is>
          <t>Test date</t>
        </is>
      </c>
      <c r="K10" s="220" t="inlineStr">
        <is>
          <t>Tester</t>
        </is>
      </c>
      <c r="L10" s="220" t="inlineStr">
        <is>
          <t>Round 3</t>
        </is>
      </c>
      <c r="M10" s="220" t="inlineStr">
        <is>
          <t>Test date</t>
        </is>
      </c>
      <c r="N10" s="220" t="inlineStr">
        <is>
          <t>Tester</t>
        </is>
      </c>
      <c r="O10" s="220" t="inlineStr">
        <is>
          <t>Note</t>
        </is>
      </c>
      <c r="P10" s="122" t="n"/>
      <c r="Q10" s="221" t="n"/>
      <c r="R10" s="122" t="n"/>
      <c r="S10" s="122" t="n"/>
      <c r="T10" s="122" t="n"/>
      <c r="U10" s="122" t="n"/>
      <c r="V10" s="122" t="n"/>
      <c r="W10" s="122" t="n"/>
      <c r="X10" s="122" t="n"/>
      <c r="Y10" s="122" t="n"/>
      <c r="Z10" s="122" t="n"/>
    </row>
    <row r="11" outlineLevel="1" s="165">
      <c r="A11" s="164" t="inlineStr">
        <is>
          <t>TC01</t>
        </is>
      </c>
      <c r="B11" s="164" t="inlineStr">
        <is>
          <t>Verify successful login with valid account
 credentials.</t>
        </is>
      </c>
      <c r="C11" s="164" t="inlineStr">
        <is>
          <t>Navigate to the Login page.
Enter a valid registered Email and Password.
Click the "Login" button.</t>
        </is>
      </c>
      <c r="D11" s="164" t="inlineStr">
        <is>
          <t>System authenticates credentials, creates a session, and redirects to the Homepage 
with the correct User Role.</t>
        </is>
      </c>
      <c r="E11" s="164" t="inlineStr">
        <is>
          <t>User account exists and is currently 
active in the database.</t>
        </is>
      </c>
      <c r="F11" s="164" t="inlineStr">
        <is>
          <t>Passed</t>
        </is>
      </c>
      <c r="G11" s="231" t="n">
        <v>46181</v>
      </c>
      <c r="H11" s="164" t="inlineStr">
        <is>
          <t>LUCTV</t>
        </is>
      </c>
      <c r="I11" s="164" t="inlineStr">
        <is>
          <t>N/A</t>
        </is>
      </c>
      <c r="J11" s="164" t="n"/>
      <c r="K11" s="164" t="n"/>
      <c r="L11" s="164" t="inlineStr">
        <is>
          <t>N/A</t>
        </is>
      </c>
      <c r="M11" s="164" t="n"/>
      <c r="N11" s="164" t="n"/>
      <c r="O11" s="164" t="inlineStr">
        <is>
          <t>Iteration 1.</t>
        </is>
      </c>
      <c r="P11" s="152" t="n"/>
      <c r="Q11" s="153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</row>
    <row r="12" outlineLevel="1" s="165">
      <c r="A12" s="164" t="inlineStr">
        <is>
          <t>TC02</t>
        </is>
      </c>
      <c r="B12" s="164" t="inlineStr">
        <is>
          <t>Verify successful login via Google OAuth integration.</t>
        </is>
      </c>
      <c r="C12" s="164" t="inlineStr">
        <is>
          <t>Navigate to the Login page.
Click on the "Login with Google" button.
Select or log into a valid Google account in the popup.</t>
        </is>
      </c>
      <c r="D12" s="164" t="inlineStr">
        <is>
          <t>System successfully authenticates via Google API, matches/creates account in DB, and log user into the Homepage.</t>
        </is>
      </c>
      <c r="E12" s="164" t="inlineStr">
        <is>
          <t>User has a valid and active Google
 account.</t>
        </is>
      </c>
      <c r="F12" s="164" t="inlineStr">
        <is>
          <t>Passed</t>
        </is>
      </c>
      <c r="G12" s="231" t="n">
        <v>46181</v>
      </c>
      <c r="H12" s="164" t="inlineStr">
        <is>
          <t>LUCTV</t>
        </is>
      </c>
      <c r="I12" s="164" t="inlineStr">
        <is>
          <t>N/A</t>
        </is>
      </c>
      <c r="J12" s="164" t="n"/>
      <c r="K12" s="164" t="n"/>
      <c r="L12" s="164" t="inlineStr">
        <is>
          <t>N/A</t>
        </is>
      </c>
      <c r="M12" s="164" t="n"/>
      <c r="N12" s="164" t="n"/>
      <c r="O12" s="164" t="inlineStr">
        <is>
          <t>Iteration 1.</t>
        </is>
      </c>
      <c r="P12" s="64" t="n"/>
      <c r="Q12" s="153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>
      <c r="A13" s="164" t="inlineStr">
        <is>
          <t>TC03</t>
        </is>
      </c>
      <c r="B13" s="164" t="inlineStr">
        <is>
          <t>Verify login failure when entering incorrect email or password</t>
        </is>
      </c>
      <c r="C13" s="164" t="inlineStr">
        <is>
          <t>Enter an unregistered email or an incorrect password.
Click the "Login" button.</t>
        </is>
      </c>
      <c r="D13" s="164" t="inlineStr">
        <is>
          <t>System blocks authentication and displays an error message: "Wrong email or password</t>
        </is>
      </c>
      <c r="E13" s="164" t="inlineStr">
        <is>
          <t>User is on the Login page.</t>
        </is>
      </c>
      <c r="F13" s="164" t="inlineStr">
        <is>
          <t>Passed</t>
        </is>
      </c>
      <c r="G13" s="231" t="n">
        <v>46181</v>
      </c>
      <c r="H13" s="164" t="inlineStr">
        <is>
          <t>LUCTV</t>
        </is>
      </c>
      <c r="I13" s="164" t="inlineStr">
        <is>
          <t>N/A</t>
        </is>
      </c>
      <c r="J13" s="164" t="n"/>
      <c r="K13" s="164" t="n"/>
      <c r="L13" s="164" t="inlineStr">
        <is>
          <t>N/A</t>
        </is>
      </c>
      <c r="M13" s="164" t="n"/>
      <c r="N13" s="164" t="n"/>
      <c r="O13" s="164" t="inlineStr">
        <is>
          <t>Iteration 1.</t>
        </is>
      </c>
      <c r="P13" s="157" t="n"/>
      <c r="Q13" s="147" t="n"/>
      <c r="R13" s="122" t="n"/>
      <c r="S13" s="122" t="n"/>
      <c r="T13" s="122" t="n"/>
      <c r="U13" s="122" t="n"/>
      <c r="V13" s="122" t="n"/>
      <c r="W13" s="122" t="n"/>
      <c r="X13" s="122" t="n"/>
      <c r="Y13" s="122" t="n"/>
      <c r="Z13" s="122" t="n"/>
    </row>
    <row r="14" outlineLevel="1" s="165">
      <c r="A14" s="164" t="inlineStr">
        <is>
          <t>TC04</t>
        </is>
      </c>
      <c r="B14" s="164" t="inlineStr">
        <is>
          <t>Verify login failure when the account has been locked or deactivated.</t>
        </is>
      </c>
      <c r="C14" s="164" t="inlineStr">
        <is>
          <t>Enter valid email and password of an account that is banned/locked by Admin.
Click the "Login" button.</t>
        </is>
      </c>
      <c r="D14" s="164" t="inlineStr">
        <is>
          <t>System blocks login and displays an error message: "Your account is locked or inactive. Please contact admin!".</t>
        </is>
      </c>
      <c r="E14" s="164" t="inlineStr">
        <is>
          <t>User account is locked/inactive in the database.</t>
        </is>
      </c>
      <c r="F14" s="164" t="inlineStr">
        <is>
          <t>Passed</t>
        </is>
      </c>
      <c r="G14" s="231" t="n">
        <v>46181</v>
      </c>
      <c r="H14" s="164" t="inlineStr">
        <is>
          <t>LUCTV</t>
        </is>
      </c>
      <c r="I14" s="164" t="inlineStr">
        <is>
          <t>N/A</t>
        </is>
      </c>
      <c r="J14" s="164" t="n"/>
      <c r="K14" s="164" t="n"/>
      <c r="L14" s="164" t="inlineStr">
        <is>
          <t>N/A</t>
        </is>
      </c>
      <c r="M14" s="164" t="n"/>
      <c r="N14" s="164" t="n"/>
      <c r="O14" s="164" t="inlineStr">
        <is>
          <t>Iteration 1.</t>
        </is>
      </c>
      <c r="P14" s="64" t="n"/>
      <c r="Q14" s="115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</row>
    <row r="15" ht="12.75" customHeight="1" s="165">
      <c r="A15" s="160" t="n"/>
      <c r="B15" s="160" t="n"/>
      <c r="C15" s="160" t="n"/>
      <c r="D15" s="160" t="n"/>
      <c r="E15" s="160" t="n"/>
      <c r="F15" s="160" t="n"/>
      <c r="G15" s="160" t="n"/>
      <c r="H15" s="160" t="n"/>
      <c r="I15" s="160" t="n"/>
      <c r="J15" s="160" t="n"/>
      <c r="K15" s="160" t="n"/>
      <c r="L15" s="160" t="n"/>
      <c r="M15" s="160" t="n"/>
      <c r="N15" s="160" t="n"/>
      <c r="O15" s="160" t="n"/>
      <c r="P15" s="10" t="n"/>
      <c r="Q15" s="115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</row>
    <row r="16" ht="12.75" customHeight="1" s="165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15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</row>
    <row r="17" ht="12.75" customHeight="1" s="165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15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</row>
    <row r="18" ht="12.75" customHeight="1" s="165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15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</row>
    <row r="19" ht="12.75" customHeight="1" s="165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15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 ht="12.75" customHeight="1" s="165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15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 ht="12.75" customHeight="1" s="165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15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 ht="12.75" customHeight="1" s="165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15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 ht="12.75" customHeight="1" s="165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15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 ht="12.75" customHeight="1" s="165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15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 ht="12.75" customHeight="1" s="16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15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 ht="12.75" customHeight="1" s="165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15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 ht="12.75" customHeight="1" s="165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15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 ht="12.75" customHeight="1" s="165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15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 ht="12.75" customHeight="1" s="165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15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 ht="12.75" customHeight="1" s="165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15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 ht="12.75" customHeight="1" s="165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15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 ht="12.75" customHeight="1" s="165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15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 ht="12.75" customHeight="1" s="165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15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 ht="12.75" customHeight="1" s="165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15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 ht="12.75" customHeight="1" s="16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15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 ht="12.75" customHeight="1" s="165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15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 ht="12.75" customHeight="1" s="165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15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 ht="12.75" customHeight="1" s="165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15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 ht="12.75" customHeight="1" s="165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15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 ht="12.75" customHeight="1" s="165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15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 ht="12.75" customHeight="1" s="165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15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 ht="12.75" customHeight="1" s="165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15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 ht="12.75" customHeight="1" s="165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15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 ht="12.75" customHeight="1" s="165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15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 ht="12.75" customHeight="1" s="16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15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 ht="12.75" customHeight="1" s="165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15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 ht="12.75" customHeight="1" s="165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5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 ht="12.75" customHeight="1" s="165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15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 ht="12.75" customHeight="1" s="165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5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 ht="12.75" customHeight="1" s="165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15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 ht="12.75" customHeight="1" s="165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15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 ht="12.75" customHeight="1" s="165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15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 ht="12.75" customHeight="1" s="165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15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 ht="12.75" customHeight="1" s="165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15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 ht="12.75" customHeight="1" s="16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15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 ht="12.75" customHeight="1" s="165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15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 ht="12.75" customHeight="1" s="165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15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 ht="12.75" customHeight="1" s="165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15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 ht="12.75" customHeight="1" s="165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15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 ht="12.75" customHeight="1" s="165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15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 ht="12.75" customHeight="1" s="165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15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 ht="12.75" customHeight="1" s="165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15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 ht="12.75" customHeight="1" s="165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15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 ht="12.75" customHeight="1" s="165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15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 ht="12.75" customHeight="1" s="1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15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 ht="12.75" customHeight="1" s="165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15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 ht="12.75" customHeight="1" s="165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15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 ht="12.75" customHeight="1" s="165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15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 ht="12.75" customHeight="1" s="165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15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 ht="12.75" customHeight="1" s="165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15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 ht="12.75" customHeight="1" s="165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15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 ht="12.75" customHeight="1" s="165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15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 ht="12.75" customHeight="1" s="165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15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 ht="12.75" customHeight="1" s="165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15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 ht="12.75" customHeight="1" s="16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15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 ht="12.75" customHeight="1" s="165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15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 ht="12.75" customHeight="1" s="165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15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 ht="12.75" customHeight="1" s="165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15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 ht="12.75" customHeight="1" s="165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15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 ht="12.75" customHeight="1" s="165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15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 ht="12.75" customHeight="1" s="165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15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 ht="12.75" customHeight="1" s="165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15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 ht="12.75" customHeight="1" s="165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15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 ht="12.75" customHeight="1" s="165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15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 ht="12.75" customHeight="1" s="16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15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 ht="12.75" customHeight="1" s="165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15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 ht="12.75" customHeight="1" s="165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15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 ht="12.75" customHeight="1" s="165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15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 ht="12.75" customHeight="1" s="165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15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 ht="12.75" customHeight="1" s="165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15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 ht="12.75" customHeight="1" s="165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15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 ht="12.75" customHeight="1" s="165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15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 ht="12.75" customHeight="1" s="165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15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 ht="12.75" customHeight="1" s="165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15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 ht="12.75" customHeight="1" s="16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15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 ht="12.75" customHeight="1" s="165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15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 ht="12.75" customHeight="1" s="165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15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 ht="12.75" customHeight="1" s="165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15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 ht="12.75" customHeight="1" s="165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15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 ht="12.75" customHeight="1" s="165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15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 ht="12.75" customHeight="1" s="165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15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 ht="12.75" customHeight="1" s="165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15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 ht="12.75" customHeight="1" s="165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15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 ht="12.75" customHeight="1" s="165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15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 ht="12.75" customHeight="1" s="16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15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 ht="12.75" customHeight="1" s="165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15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 ht="12.75" customHeight="1" s="165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15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 ht="12.75" customHeight="1" s="165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15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 ht="12.75" customHeight="1" s="165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15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 ht="12.75" customHeight="1" s="165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15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 ht="12.75" customHeight="1" s="165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15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 ht="12.75" customHeight="1" s="165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15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 ht="12.75" customHeight="1" s="165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15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 ht="12.75" customHeight="1" s="165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15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 ht="12.75" customHeight="1" s="16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15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 ht="12.75" customHeight="1" s="165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15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 ht="12.75" customHeight="1" s="165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15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 ht="12.75" customHeight="1" s="165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15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 ht="12.75" customHeight="1" s="165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15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 ht="12.75" customHeight="1" s="165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15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 ht="12.75" customHeight="1" s="165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15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 ht="12.75" customHeight="1" s="165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15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 ht="12.75" customHeight="1" s="165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15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 ht="12.75" customHeight="1" s="165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15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 ht="12.75" customHeight="1" s="16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15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 ht="12.75" customHeight="1" s="165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15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 ht="12.75" customHeight="1" s="165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15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 ht="12.75" customHeight="1" s="165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15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 ht="12.75" customHeight="1" s="165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15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 ht="12.75" customHeight="1" s="165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15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 ht="12.75" customHeight="1" s="165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15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 ht="12.75" customHeight="1" s="165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15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 ht="12.75" customHeight="1" s="165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15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 ht="12.75" customHeight="1" s="165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15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 ht="12.75" customHeight="1" s="16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15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 ht="12.75" customHeight="1" s="165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15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 ht="12.75" customHeight="1" s="165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15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 ht="12.75" customHeight="1" s="165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15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 ht="12.75" customHeight="1" s="165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15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 ht="12.75" customHeight="1" s="165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15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 ht="12.75" customHeight="1" s="165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15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 ht="12.75" customHeight="1" s="165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15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 ht="12.75" customHeight="1" s="165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15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 ht="12.75" customHeight="1" s="165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15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 ht="12.75" customHeight="1" s="16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15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 ht="12.75" customHeight="1" s="165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15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 ht="12.75" customHeight="1" s="165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15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 ht="12.75" customHeight="1" s="165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15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 ht="12.75" customHeight="1" s="165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15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 ht="12.75" customHeight="1" s="165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15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 ht="12.75" customHeight="1" s="165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15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 ht="12.75" customHeight="1" s="165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15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 ht="12.75" customHeight="1" s="165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15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 ht="12.75" customHeight="1" s="165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15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 ht="12.75" customHeight="1" s="16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15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 ht="12.75" customHeight="1" s="165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15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 ht="12.75" customHeight="1" s="165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15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 ht="12.75" customHeight="1" s="165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15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 ht="12.75" customHeight="1" s="165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15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 ht="12.75" customHeight="1" s="165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15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 ht="12.75" customHeight="1" s="165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15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 ht="12.75" customHeight="1" s="165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15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 ht="12.75" customHeight="1" s="165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15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 ht="12.75" customHeight="1" s="165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15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 ht="12.75" customHeight="1" s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15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 ht="12.75" customHeight="1" s="165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15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 ht="12.75" customHeight="1" s="165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15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 ht="12.75" customHeight="1" s="165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15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 ht="12.75" customHeight="1" s="165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15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 ht="12.75" customHeight="1" s="165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15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 ht="12.75" customHeight="1" s="165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15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 ht="12.75" customHeight="1" s="165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15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 ht="12.75" customHeight="1" s="165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15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 ht="12.75" customHeight="1" s="165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15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 ht="12.75" customHeight="1" s="16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15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 ht="12.75" customHeight="1" s="165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15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 ht="12.75" customHeight="1" s="165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15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 ht="12.75" customHeight="1" s="165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15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 ht="12.75" customHeight="1" s="165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15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 ht="12.75" customHeight="1" s="165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15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 ht="12.75" customHeight="1" s="165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15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 ht="12.75" customHeight="1" s="165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15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 ht="12.75" customHeight="1" s="165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15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 ht="12.75" customHeight="1" s="165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15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 ht="12.75" customHeight="1" s="16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15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 ht="12.75" customHeight="1" s="165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15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 ht="12.75" customHeight="1" s="165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15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 ht="12.75" customHeight="1" s="165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15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 ht="12.75" customHeight="1" s="165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15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 ht="12.75" customHeight="1" s="165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15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 ht="12.75" customHeight="1" s="165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15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 ht="12.75" customHeight="1" s="165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15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 ht="12.75" customHeight="1" s="165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15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 ht="12.75" customHeight="1" s="165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15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 ht="12.75" customHeight="1" s="16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15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 ht="12.75" customHeight="1" s="165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15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 ht="12.75" customHeight="1" s="165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15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 ht="12.75" customHeight="1" s="165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15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 ht="12.75" customHeight="1" s="165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15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 ht="12.75" customHeight="1" s="165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15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 ht="12.75" customHeight="1" s="165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15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 ht="12.75" customHeight="1" s="165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15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 ht="12.75" customHeight="1" s="165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15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 ht="12.75" customHeight="1" s="165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15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 ht="12.75" customHeight="1" s="16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15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 ht="12.75" customHeight="1" s="165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15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 ht="12.75" customHeight="1" s="165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15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 ht="12.75" customHeight="1" s="165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15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 ht="12.75" customHeight="1" s="165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15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 ht="12.75" customHeight="1" s="165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15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 ht="12.75" customHeight="1" s="165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15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 ht="12.75" customHeight="1" s="165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15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 ht="12.75" customHeight="1" s="165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15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 ht="12.75" customHeight="1" s="165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15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 ht="15.75" customHeight="1" s="165"/>
    <row r="216" ht="15.75" customHeight="1" s="165"/>
    <row r="217" ht="15.75" customHeight="1" s="165"/>
    <row r="218" ht="15.75" customHeight="1" s="165"/>
    <row r="219" ht="15.75" customHeight="1" s="165"/>
    <row r="220" ht="15.75" customHeight="1" s="165"/>
    <row r="221" ht="15.75" customHeight="1" s="165"/>
    <row r="222" ht="15.75" customHeight="1" s="165"/>
    <row r="223" ht="15.75" customHeight="1" s="165"/>
    <row r="224" ht="15.75" customHeight="1" s="165"/>
    <row r="225" ht="15.75" customHeight="1" s="165"/>
    <row r="226" ht="15.75" customHeight="1" s="165"/>
    <row r="227" ht="15.75" customHeight="1" s="165"/>
    <row r="228" ht="15.75" customHeight="1" s="165"/>
    <row r="229" ht="15.75" customHeight="1" s="165"/>
    <row r="230" ht="15.75" customHeight="1" s="165"/>
    <row r="231" ht="15.75" customHeight="1" s="165"/>
    <row r="232" ht="15.75" customHeight="1" s="165"/>
    <row r="233" ht="15.75" customHeight="1" s="165"/>
    <row r="234" ht="15.75" customHeight="1" s="165"/>
    <row r="235" ht="15.75" customHeight="1" s="165"/>
    <row r="236" ht="15.75" customHeight="1" s="165"/>
    <row r="237" ht="15.75" customHeight="1" s="165"/>
    <row r="238" ht="15.75" customHeight="1" s="165"/>
    <row r="239" ht="15.75" customHeight="1" s="165"/>
    <row r="240" ht="15.75" customHeight="1" s="165"/>
    <row r="241" ht="15.75" customHeight="1" s="165"/>
    <row r="242" ht="15.75" customHeight="1" s="165"/>
    <row r="243" ht="15.75" customHeight="1" s="165"/>
    <row r="244" ht="15.75" customHeight="1" s="165"/>
    <row r="245" ht="15.75" customHeight="1" s="165"/>
    <row r="246" ht="15.75" customHeight="1" s="165"/>
    <row r="247" ht="15.75" customHeight="1" s="165"/>
    <row r="248" ht="15.75" customHeight="1" s="165"/>
    <row r="249" ht="15.75" customHeight="1" s="165"/>
    <row r="250" ht="15.75" customHeight="1" s="165"/>
    <row r="251" ht="15.75" customHeight="1" s="165"/>
    <row r="252" ht="15.75" customHeight="1" s="165"/>
    <row r="253" ht="15.75" customHeight="1" s="165"/>
    <row r="254" ht="15.75" customHeight="1" s="165"/>
    <row r="255" ht="15.75" customHeight="1" s="165"/>
    <row r="256" ht="15.75" customHeight="1" s="165"/>
    <row r="257" ht="15.75" customHeight="1" s="165"/>
    <row r="258" ht="15.75" customHeight="1" s="165"/>
    <row r="259" ht="15.75" customHeight="1" s="165"/>
    <row r="260" ht="15.75" customHeight="1" s="165"/>
    <row r="261" ht="15.75" customHeight="1" s="165"/>
    <row r="262" ht="15.75" customHeight="1" s="165"/>
    <row r="263" ht="15.75" customHeight="1" s="165"/>
    <row r="264" ht="15.75" customHeight="1" s="165"/>
    <row r="265" ht="15.75" customHeight="1" s="165"/>
    <row r="266" ht="15.75" customHeight="1" s="165"/>
    <row r="267" ht="15.75" customHeight="1" s="165"/>
    <row r="268" ht="15.75" customHeight="1" s="165"/>
    <row r="269" ht="15.75" customHeight="1" s="165"/>
    <row r="270" ht="15.75" customHeight="1" s="165"/>
    <row r="271" ht="15.75" customHeight="1" s="165"/>
    <row r="272" ht="15.75" customHeight="1" s="165"/>
    <row r="273" ht="15.75" customHeight="1" s="165"/>
    <row r="274" ht="15.75" customHeight="1" s="165"/>
    <row r="275" ht="15.75" customHeight="1" s="165"/>
    <row r="276" ht="15.75" customHeight="1" s="165"/>
    <row r="277" ht="15.75" customHeight="1" s="165"/>
    <row r="278" ht="15.75" customHeight="1" s="165"/>
    <row r="279" ht="15.75" customHeight="1" s="165"/>
    <row r="280" ht="15.75" customHeight="1" s="165"/>
    <row r="281" ht="15.75" customHeight="1" s="165"/>
    <row r="282" ht="15.75" customHeight="1" s="165"/>
    <row r="283" ht="15.75" customHeight="1" s="165"/>
    <row r="284" ht="15.75" customHeight="1" s="165"/>
    <row r="285" ht="15.75" customHeight="1" s="165"/>
    <row r="286" ht="15.75" customHeight="1" s="165"/>
    <row r="287" ht="15.75" customHeight="1" s="165"/>
    <row r="288" ht="15.75" customHeight="1" s="165"/>
    <row r="289" ht="15.75" customHeight="1" s="165"/>
    <row r="290" ht="15.75" customHeight="1" s="165"/>
    <row r="291" ht="15.75" customHeight="1" s="165"/>
    <row r="292" ht="15.75" customHeight="1" s="165"/>
    <row r="293" ht="15.75" customHeight="1" s="165"/>
    <row r="294" ht="15.75" customHeight="1" s="165"/>
    <row r="295" ht="15.75" customHeight="1" s="165"/>
    <row r="296" ht="15.75" customHeight="1" s="165"/>
    <row r="297" ht="15.75" customHeight="1" s="165"/>
    <row r="298" ht="15.75" customHeight="1" s="165"/>
    <row r="299" ht="15.75" customHeight="1" s="165"/>
    <row r="300" ht="15.75" customHeight="1" s="165"/>
    <row r="301" ht="15.75" customHeight="1" s="165"/>
    <row r="302" ht="15.75" customHeight="1" s="165"/>
    <row r="303" ht="15.75" customHeight="1" s="165"/>
    <row r="304" ht="15.75" customHeight="1" s="165"/>
    <row r="305" ht="15.75" customHeight="1" s="165"/>
    <row r="306" ht="15.75" customHeight="1" s="165"/>
    <row r="307" ht="15.75" customHeight="1" s="165"/>
    <row r="308" ht="15.75" customHeight="1" s="165"/>
    <row r="309" ht="15.75" customHeight="1" s="165"/>
    <row r="310" ht="15.75" customHeight="1" s="165"/>
    <row r="311" ht="15.75" customHeight="1" s="165"/>
    <row r="312" ht="15.75" customHeight="1" s="165"/>
    <row r="313" ht="15.75" customHeight="1" s="165"/>
    <row r="314" ht="15.75" customHeight="1" s="165"/>
    <row r="315" ht="15.75" customHeight="1" s="165"/>
    <row r="316" ht="15.75" customHeight="1" s="165"/>
    <row r="317" ht="15.75" customHeight="1" s="165"/>
    <row r="318" ht="15.75" customHeight="1" s="165"/>
    <row r="319" ht="15.75" customHeight="1" s="165"/>
    <row r="320" ht="15.75" customHeight="1" s="165"/>
    <row r="321" ht="15.75" customHeight="1" s="165"/>
    <row r="322" ht="15.75" customHeight="1" s="165"/>
    <row r="323" ht="15.75" customHeight="1" s="165"/>
    <row r="324" ht="15.75" customHeight="1" s="165"/>
    <row r="325" ht="15.75" customHeight="1" s="165"/>
    <row r="326" ht="15.75" customHeight="1" s="165"/>
    <row r="327" ht="15.75" customHeight="1" s="165"/>
    <row r="328" ht="15.75" customHeight="1" s="165"/>
    <row r="329" ht="15.75" customHeight="1" s="165"/>
    <row r="330" ht="15.75" customHeight="1" s="165"/>
    <row r="331" ht="15.75" customHeight="1" s="165"/>
    <row r="332" ht="15.75" customHeight="1" s="165"/>
    <row r="333" ht="15.75" customHeight="1" s="165"/>
    <row r="334" ht="15.75" customHeight="1" s="165"/>
    <row r="335" ht="15.75" customHeight="1" s="165"/>
    <row r="336" ht="15.75" customHeight="1" s="165"/>
    <row r="337" ht="15.75" customHeight="1" s="165"/>
    <row r="338" ht="15.75" customHeight="1" s="165"/>
    <row r="339" ht="15.75" customHeight="1" s="165"/>
    <row r="340" ht="15.75" customHeight="1" s="165"/>
    <row r="341" ht="15.75" customHeight="1" s="165"/>
    <row r="342" ht="15.75" customHeight="1" s="165"/>
    <row r="343" ht="15.75" customHeight="1" s="165"/>
    <row r="344" ht="15.75" customHeight="1" s="165"/>
    <row r="345" ht="15.75" customHeight="1" s="165"/>
    <row r="346" ht="15.75" customHeight="1" s="165"/>
    <row r="347" ht="15.75" customHeight="1" s="165"/>
    <row r="348" ht="15.75" customHeight="1" s="165"/>
    <row r="349" ht="15.75" customHeight="1" s="165"/>
    <row r="350" ht="15.75" customHeight="1" s="165"/>
    <row r="351" ht="15.75" customHeight="1" s="165"/>
    <row r="352" ht="15.75" customHeight="1" s="165"/>
    <row r="353" ht="15.75" customHeight="1" s="165"/>
    <row r="354" ht="15.75" customHeight="1" s="165"/>
    <row r="355" ht="15.75" customHeight="1" s="165"/>
    <row r="356" ht="15.75" customHeight="1" s="165"/>
    <row r="357" ht="15.75" customHeight="1" s="165"/>
    <row r="358" ht="15.75" customHeight="1" s="165"/>
    <row r="359" ht="15.75" customHeight="1" s="165"/>
    <row r="360" ht="15.75" customHeight="1" s="165"/>
    <row r="361" ht="15.75" customHeight="1" s="165"/>
    <row r="362" ht="15.75" customHeight="1" s="165"/>
    <row r="363" ht="15.75" customHeight="1" s="165"/>
    <row r="364" ht="15.75" customHeight="1" s="165"/>
    <row r="365" ht="15.75" customHeight="1" s="165"/>
    <row r="366" ht="15.75" customHeight="1" s="165"/>
    <row r="367" ht="15.75" customHeight="1" s="165"/>
    <row r="368" ht="15.75" customHeight="1" s="165"/>
    <row r="369" ht="15.75" customHeight="1" s="165"/>
    <row r="370" ht="15.75" customHeight="1" s="165"/>
    <row r="371" ht="15.75" customHeight="1" s="165"/>
    <row r="372" ht="15.75" customHeight="1" s="165"/>
    <row r="373" ht="15.75" customHeight="1" s="165"/>
    <row r="374" ht="15.75" customHeight="1" s="165"/>
    <row r="375" ht="15.75" customHeight="1" s="165"/>
    <row r="376" ht="15.75" customHeight="1" s="165"/>
    <row r="377" ht="15.75" customHeight="1" s="165"/>
    <row r="378" ht="15.75" customHeight="1" s="165"/>
    <row r="379" ht="15.75" customHeight="1" s="165"/>
    <row r="380" ht="15.75" customHeight="1" s="165"/>
    <row r="381" ht="15.75" customHeight="1" s="165"/>
    <row r="382" ht="15.75" customHeight="1" s="165"/>
    <row r="383" ht="15.75" customHeight="1" s="165"/>
    <row r="384" ht="15.75" customHeight="1" s="165"/>
    <row r="385" ht="15.75" customHeight="1" s="165"/>
    <row r="386" ht="15.75" customHeight="1" s="165"/>
    <row r="387" ht="15.75" customHeight="1" s="165"/>
    <row r="388" ht="15.75" customHeight="1" s="165"/>
    <row r="389" ht="15.75" customHeight="1" s="165"/>
    <row r="390" ht="15.75" customHeight="1" s="165"/>
    <row r="391" ht="15.75" customHeight="1" s="165"/>
    <row r="392" ht="15.75" customHeight="1" s="165"/>
    <row r="393" ht="15.75" customHeight="1" s="165"/>
    <row r="394" ht="15.75" customHeight="1" s="165"/>
    <row r="395" ht="15.75" customHeight="1" s="165"/>
    <row r="396" ht="15.75" customHeight="1" s="165"/>
    <row r="397" ht="15.75" customHeight="1" s="165"/>
    <row r="398" ht="15.75" customHeight="1" s="165"/>
    <row r="399" ht="15.75" customHeight="1" s="165"/>
    <row r="400" ht="15.75" customHeight="1" s="165"/>
    <row r="401" ht="15.75" customHeight="1" s="165"/>
    <row r="402" ht="15.75" customHeight="1" s="165"/>
    <row r="403" ht="15.75" customHeight="1" s="165"/>
    <row r="404" ht="15.75" customHeight="1" s="165"/>
    <row r="405" ht="15.75" customHeight="1" s="165"/>
    <row r="406" ht="15.75" customHeight="1" s="165"/>
    <row r="407" ht="15.75" customHeight="1" s="165"/>
    <row r="408" ht="15.75" customHeight="1" s="165"/>
    <row r="409" ht="15.75" customHeight="1" s="165"/>
    <row r="410" ht="15.75" customHeight="1" s="165"/>
    <row r="411" ht="15.75" customHeight="1" s="165"/>
    <row r="412" ht="15.75" customHeight="1" s="165"/>
    <row r="413" ht="15.75" customHeight="1" s="165"/>
    <row r="414" ht="15.75" customHeight="1" s="165"/>
    <row r="415" ht="15.75" customHeight="1" s="165"/>
    <row r="416" ht="15.75" customHeight="1" s="165"/>
    <row r="417" ht="15.75" customHeight="1" s="165"/>
    <row r="418" ht="15.75" customHeight="1" s="165"/>
    <row r="419" ht="15.75" customHeight="1" s="165"/>
    <row r="420" ht="15.75" customHeight="1" s="165"/>
    <row r="421" ht="15.75" customHeight="1" s="165"/>
    <row r="422" ht="15.75" customHeight="1" s="165"/>
    <row r="423" ht="15.75" customHeight="1" s="165"/>
    <row r="424" ht="15.75" customHeight="1" s="165"/>
    <row r="425" ht="15.75" customHeight="1" s="165"/>
    <row r="426" ht="15.75" customHeight="1" s="165"/>
    <row r="427" ht="15.75" customHeight="1" s="165"/>
    <row r="428" ht="15.75" customHeight="1" s="165"/>
    <row r="429" ht="15.75" customHeight="1" s="165"/>
    <row r="430" ht="15.75" customHeight="1" s="165"/>
    <row r="431" ht="15.75" customHeight="1" s="165"/>
    <row r="432" ht="15.75" customHeight="1" s="165"/>
    <row r="433" ht="15.75" customHeight="1" s="165"/>
    <row r="434" ht="15.75" customHeight="1" s="165"/>
    <row r="435" ht="15.75" customHeight="1" s="165"/>
    <row r="436" ht="15.75" customHeight="1" s="165"/>
    <row r="437" ht="15.75" customHeight="1" s="165"/>
    <row r="438" ht="15.75" customHeight="1" s="165"/>
    <row r="439" ht="15.75" customHeight="1" s="165"/>
    <row r="440" ht="15.75" customHeight="1" s="165"/>
    <row r="441" ht="15.75" customHeight="1" s="165"/>
    <row r="442" ht="15.75" customHeight="1" s="165"/>
    <row r="443" ht="15.75" customHeight="1" s="165"/>
    <row r="444" ht="15.75" customHeight="1" s="165"/>
    <row r="445" ht="15.75" customHeight="1" s="165"/>
    <row r="446" ht="15.75" customHeight="1" s="165"/>
    <row r="447" ht="15.75" customHeight="1" s="165"/>
    <row r="448" ht="15.75" customHeight="1" s="165"/>
    <row r="449" ht="15.75" customHeight="1" s="165"/>
    <row r="450" ht="15.75" customHeight="1" s="165"/>
    <row r="451" ht="15.75" customHeight="1" s="165"/>
    <row r="452" ht="15.75" customHeight="1" s="165"/>
    <row r="453" ht="15.75" customHeight="1" s="165"/>
    <row r="454" ht="15.75" customHeight="1" s="165"/>
    <row r="455" ht="15.75" customHeight="1" s="165"/>
    <row r="456" ht="15.75" customHeight="1" s="165"/>
    <row r="457" ht="15.75" customHeight="1" s="165"/>
    <row r="458" ht="15.75" customHeight="1" s="165"/>
    <row r="459" ht="15.75" customHeight="1" s="165"/>
    <row r="460" ht="15.75" customHeight="1" s="165"/>
    <row r="461" ht="15.75" customHeight="1" s="165"/>
    <row r="462" ht="15.75" customHeight="1" s="165"/>
    <row r="463" ht="15.75" customHeight="1" s="165"/>
    <row r="464" ht="15.75" customHeight="1" s="165"/>
    <row r="465" ht="15.75" customHeight="1" s="165"/>
    <row r="466" ht="15.75" customHeight="1" s="165"/>
    <row r="467" ht="15.75" customHeight="1" s="165"/>
    <row r="468" ht="15.75" customHeight="1" s="165"/>
    <row r="469" ht="15.75" customHeight="1" s="165"/>
    <row r="470" ht="15.75" customHeight="1" s="165"/>
    <row r="471" ht="15.75" customHeight="1" s="165"/>
    <row r="472" ht="15.75" customHeight="1" s="165"/>
    <row r="473" ht="15.75" customHeight="1" s="165"/>
    <row r="474" ht="15.75" customHeight="1" s="165"/>
    <row r="475" ht="15.75" customHeight="1" s="165"/>
    <row r="476" ht="15.75" customHeight="1" s="165"/>
    <row r="477" ht="15.75" customHeight="1" s="165"/>
    <row r="478" ht="15.75" customHeight="1" s="165"/>
    <row r="479" ht="15.75" customHeight="1" s="165"/>
    <row r="480" ht="15.75" customHeight="1" s="165"/>
    <row r="481" ht="15.75" customHeight="1" s="165"/>
    <row r="482" ht="15.75" customHeight="1" s="165"/>
    <row r="483" ht="15.75" customHeight="1" s="165"/>
    <row r="484" ht="15.75" customHeight="1" s="165"/>
    <row r="485" ht="15.75" customHeight="1" s="165"/>
    <row r="486" ht="15.75" customHeight="1" s="165"/>
    <row r="487" ht="15.75" customHeight="1" s="165"/>
    <row r="488" ht="15.75" customHeight="1" s="165"/>
    <row r="489" ht="15.75" customHeight="1" s="165"/>
    <row r="490" ht="15.75" customHeight="1" s="165"/>
    <row r="491" ht="15.75" customHeight="1" s="165"/>
    <row r="492" ht="15.75" customHeight="1" s="165"/>
    <row r="493" ht="15.75" customHeight="1" s="165"/>
    <row r="494" ht="15.75" customHeight="1" s="165"/>
    <row r="495" ht="15.75" customHeight="1" s="165"/>
    <row r="496" ht="15.75" customHeight="1" s="165"/>
    <row r="497" ht="15.75" customHeight="1" s="165"/>
    <row r="498" ht="15.75" customHeight="1" s="165"/>
    <row r="499" ht="15.75" customHeight="1" s="165"/>
    <row r="500" ht="15.75" customHeight="1" s="165"/>
    <row r="501" ht="15.75" customHeight="1" s="165"/>
    <row r="502" ht="15.75" customHeight="1" s="165"/>
    <row r="503" ht="15.75" customHeight="1" s="165"/>
    <row r="504" ht="15.75" customHeight="1" s="165"/>
    <row r="505" ht="15.75" customHeight="1" s="165"/>
    <row r="506" ht="15.75" customHeight="1" s="165"/>
    <row r="507" ht="15.75" customHeight="1" s="165"/>
    <row r="508" ht="15.75" customHeight="1" s="165"/>
    <row r="509" ht="15.75" customHeight="1" s="165"/>
    <row r="510" ht="15.75" customHeight="1" s="165"/>
    <row r="511" ht="15.75" customHeight="1" s="165"/>
    <row r="512" ht="15.75" customHeight="1" s="165"/>
    <row r="513" ht="15.75" customHeight="1" s="165"/>
    <row r="514" ht="15.75" customHeight="1" s="165"/>
    <row r="515" ht="15.75" customHeight="1" s="165"/>
    <row r="516" ht="15.75" customHeight="1" s="165"/>
    <row r="517" ht="15.75" customHeight="1" s="165"/>
    <row r="518" ht="15.75" customHeight="1" s="165"/>
    <row r="519" ht="15.75" customHeight="1" s="165"/>
    <row r="520" ht="15.75" customHeight="1" s="165"/>
    <row r="521" ht="15.75" customHeight="1" s="165"/>
    <row r="522" ht="15.75" customHeight="1" s="165"/>
    <row r="523" ht="15.75" customHeight="1" s="165"/>
    <row r="524" ht="15.75" customHeight="1" s="165"/>
    <row r="525" ht="15.75" customHeight="1" s="165"/>
    <row r="526" ht="15.75" customHeight="1" s="165"/>
    <row r="527" ht="15.75" customHeight="1" s="165"/>
    <row r="528" ht="15.75" customHeight="1" s="165"/>
    <row r="529" ht="15.75" customHeight="1" s="165"/>
    <row r="530" ht="15.75" customHeight="1" s="165"/>
    <row r="531" ht="15.75" customHeight="1" s="165"/>
    <row r="532" ht="15.75" customHeight="1" s="165"/>
    <row r="533" ht="15.75" customHeight="1" s="165"/>
    <row r="534" ht="15.75" customHeight="1" s="165"/>
    <row r="535" ht="15.75" customHeight="1" s="165"/>
    <row r="536" ht="15.75" customHeight="1" s="165"/>
    <row r="537" ht="15.75" customHeight="1" s="165"/>
    <row r="538" ht="15.75" customHeight="1" s="165"/>
    <row r="539" ht="15.75" customHeight="1" s="165"/>
    <row r="540" ht="15.75" customHeight="1" s="165"/>
    <row r="541" ht="15.75" customHeight="1" s="165"/>
    <row r="542" ht="15.75" customHeight="1" s="165"/>
    <row r="543" ht="15.75" customHeight="1" s="165"/>
    <row r="544" ht="15.75" customHeight="1" s="165"/>
    <row r="545" ht="15.75" customHeight="1" s="165"/>
    <row r="546" ht="15.75" customHeight="1" s="165"/>
    <row r="547" ht="15.75" customHeight="1" s="165"/>
    <row r="548" ht="15.75" customHeight="1" s="165"/>
    <row r="549" ht="15.75" customHeight="1" s="165"/>
    <row r="550" ht="15.75" customHeight="1" s="165"/>
    <row r="551" ht="15.75" customHeight="1" s="165"/>
    <row r="552" ht="15.75" customHeight="1" s="165"/>
    <row r="553" ht="15.75" customHeight="1" s="165"/>
    <row r="554" ht="15.75" customHeight="1" s="165"/>
    <row r="555" ht="15.75" customHeight="1" s="165"/>
    <row r="556" ht="15.75" customHeight="1" s="165"/>
    <row r="557" ht="15.75" customHeight="1" s="165"/>
    <row r="558" ht="15.75" customHeight="1" s="165"/>
    <row r="559" ht="15.75" customHeight="1" s="165"/>
    <row r="560" ht="15.75" customHeight="1" s="165"/>
    <row r="561" ht="15.75" customHeight="1" s="165"/>
    <row r="562" ht="15.75" customHeight="1" s="165"/>
    <row r="563" ht="15.75" customHeight="1" s="165"/>
    <row r="564" ht="15.75" customHeight="1" s="165"/>
    <row r="565" ht="15.75" customHeight="1" s="165"/>
    <row r="566" ht="15.75" customHeight="1" s="165"/>
    <row r="567" ht="15.75" customHeight="1" s="165"/>
    <row r="568" ht="15.75" customHeight="1" s="165"/>
    <row r="569" ht="15.75" customHeight="1" s="165"/>
    <row r="570" ht="15.75" customHeight="1" s="165"/>
    <row r="571" ht="15.75" customHeight="1" s="165"/>
    <row r="572" ht="15.75" customHeight="1" s="165"/>
    <row r="573" ht="15.75" customHeight="1" s="165"/>
    <row r="574" ht="15.75" customHeight="1" s="165"/>
    <row r="575" ht="15.75" customHeight="1" s="165"/>
    <row r="576" ht="15.75" customHeight="1" s="165"/>
    <row r="577" ht="15.75" customHeight="1" s="165"/>
    <row r="578" ht="15.75" customHeight="1" s="165"/>
    <row r="579" ht="15.75" customHeight="1" s="165"/>
    <row r="580" ht="15.75" customHeight="1" s="165"/>
    <row r="581" ht="15.75" customHeight="1" s="165"/>
    <row r="582" ht="15.75" customHeight="1" s="165"/>
    <row r="583" ht="15.75" customHeight="1" s="165"/>
    <row r="584" ht="15.75" customHeight="1" s="165"/>
    <row r="585" ht="15.75" customHeight="1" s="165"/>
    <row r="586" ht="15.75" customHeight="1" s="165"/>
    <row r="587" ht="15.75" customHeight="1" s="165"/>
    <row r="588" ht="15.75" customHeight="1" s="165"/>
    <row r="589" ht="15.75" customHeight="1" s="165"/>
    <row r="590" ht="15.75" customHeight="1" s="165"/>
    <row r="591" ht="15.75" customHeight="1" s="165"/>
    <row r="592" ht="15.75" customHeight="1" s="165"/>
    <row r="593" ht="15.75" customHeight="1" s="165"/>
    <row r="594" ht="15.75" customHeight="1" s="165"/>
    <row r="595" ht="15.75" customHeight="1" s="165"/>
    <row r="596" ht="15.75" customHeight="1" s="165"/>
    <row r="597" ht="15.75" customHeight="1" s="165"/>
    <row r="598" ht="15.75" customHeight="1" s="165"/>
    <row r="599" ht="15.75" customHeight="1" s="165"/>
    <row r="600" ht="15.75" customHeight="1" s="165"/>
    <row r="601" ht="15.75" customHeight="1" s="165"/>
    <row r="602" ht="15.75" customHeight="1" s="165"/>
    <row r="603" ht="15.75" customHeight="1" s="165"/>
    <row r="604" ht="15.75" customHeight="1" s="165"/>
    <row r="605" ht="15.75" customHeight="1" s="165"/>
    <row r="606" ht="15.75" customHeight="1" s="165"/>
    <row r="607" ht="15.75" customHeight="1" s="165"/>
    <row r="608" ht="15.75" customHeight="1" s="165"/>
    <row r="609" ht="15.75" customHeight="1" s="165"/>
    <row r="610" ht="15.75" customHeight="1" s="165"/>
    <row r="611" ht="15.75" customHeight="1" s="165"/>
    <row r="612" ht="15.75" customHeight="1" s="165"/>
    <row r="613" ht="15.75" customHeight="1" s="165"/>
    <row r="614" ht="15.75" customHeight="1" s="165"/>
    <row r="615" ht="15.75" customHeight="1" s="165"/>
    <row r="616" ht="15.75" customHeight="1" s="165"/>
    <row r="617" ht="15.75" customHeight="1" s="165"/>
    <row r="618" ht="15.75" customHeight="1" s="165"/>
    <row r="619" ht="15.75" customHeight="1" s="165"/>
    <row r="620" ht="15.75" customHeight="1" s="165"/>
    <row r="621" ht="15.75" customHeight="1" s="165"/>
    <row r="622" ht="15.75" customHeight="1" s="165"/>
    <row r="623" ht="15.75" customHeight="1" s="165"/>
    <row r="624" ht="15.75" customHeight="1" s="165"/>
    <row r="625" ht="15.75" customHeight="1" s="165"/>
    <row r="626" ht="15.75" customHeight="1" s="165"/>
    <row r="627" ht="15.75" customHeight="1" s="165"/>
    <row r="628" ht="15.75" customHeight="1" s="165"/>
    <row r="629" ht="15.75" customHeight="1" s="165"/>
    <row r="630" ht="15.75" customHeight="1" s="165"/>
    <row r="631" ht="15.75" customHeight="1" s="165"/>
    <row r="632" ht="15.75" customHeight="1" s="165"/>
    <row r="633" ht="15.75" customHeight="1" s="165"/>
    <row r="634" ht="15.75" customHeight="1" s="165"/>
    <row r="635" ht="15.75" customHeight="1" s="165"/>
    <row r="636" ht="15.75" customHeight="1" s="165"/>
    <row r="637" ht="15.75" customHeight="1" s="165"/>
    <row r="638" ht="15.75" customHeight="1" s="165"/>
    <row r="639" ht="15.75" customHeight="1" s="165"/>
    <row r="640" ht="15.75" customHeight="1" s="165"/>
    <row r="641" ht="15.75" customHeight="1" s="165"/>
    <row r="642" ht="15.75" customHeight="1" s="165"/>
    <row r="643" ht="15.75" customHeight="1" s="165"/>
    <row r="644" ht="15.75" customHeight="1" s="165"/>
    <row r="645" ht="15.75" customHeight="1" s="165"/>
    <row r="646" ht="15.75" customHeight="1" s="165"/>
    <row r="647" ht="15.75" customHeight="1" s="165"/>
    <row r="648" ht="15.75" customHeight="1" s="165"/>
    <row r="649" ht="15.75" customHeight="1" s="165"/>
    <row r="650" ht="15.75" customHeight="1" s="165"/>
    <row r="651" ht="15.75" customHeight="1" s="165"/>
    <row r="652" ht="15.75" customHeight="1" s="165"/>
    <row r="653" ht="15.75" customHeight="1" s="165"/>
    <row r="654" ht="15.75" customHeight="1" s="165"/>
    <row r="655" ht="15.75" customHeight="1" s="165"/>
    <row r="656" ht="15.75" customHeight="1" s="165"/>
    <row r="657" ht="15.75" customHeight="1" s="165"/>
    <row r="658" ht="15.75" customHeight="1" s="165"/>
    <row r="659" ht="15.75" customHeight="1" s="165"/>
    <row r="660" ht="15.75" customHeight="1" s="165"/>
    <row r="661" ht="15.75" customHeight="1" s="165"/>
    <row r="662" ht="15.75" customHeight="1" s="165"/>
    <row r="663" ht="15.75" customHeight="1" s="165"/>
    <row r="664" ht="15.75" customHeight="1" s="165"/>
    <row r="665" ht="15.75" customHeight="1" s="165"/>
    <row r="666" ht="15.75" customHeight="1" s="165"/>
    <row r="667" ht="15.75" customHeight="1" s="165"/>
    <row r="668" ht="15.75" customHeight="1" s="165"/>
    <row r="669" ht="15.75" customHeight="1" s="165"/>
    <row r="670" ht="15.75" customHeight="1" s="165"/>
    <row r="671" ht="15.75" customHeight="1" s="165"/>
    <row r="672" ht="15.75" customHeight="1" s="165"/>
    <row r="673" ht="15.75" customHeight="1" s="165"/>
    <row r="674" ht="15.75" customHeight="1" s="165"/>
    <row r="675" ht="15.75" customHeight="1" s="165"/>
    <row r="676" ht="15.75" customHeight="1" s="165"/>
    <row r="677" ht="15.75" customHeight="1" s="165"/>
    <row r="678" ht="15.75" customHeight="1" s="165"/>
    <row r="679" ht="15.75" customHeight="1" s="165"/>
    <row r="680" ht="15.75" customHeight="1" s="165"/>
    <row r="681" ht="15.75" customHeight="1" s="165"/>
    <row r="682" ht="15.75" customHeight="1" s="165"/>
    <row r="683" ht="15.75" customHeight="1" s="165"/>
    <row r="684" ht="15.75" customHeight="1" s="165"/>
    <row r="685" ht="15.75" customHeight="1" s="165"/>
    <row r="686" ht="15.75" customHeight="1" s="165"/>
    <row r="687" ht="15.75" customHeight="1" s="165"/>
    <row r="688" ht="15.75" customHeight="1" s="165"/>
    <row r="689" ht="15.75" customHeight="1" s="165"/>
    <row r="690" ht="15.75" customHeight="1" s="165"/>
    <row r="691" ht="15.75" customHeight="1" s="165"/>
    <row r="692" ht="15.75" customHeight="1" s="165"/>
    <row r="693" ht="15.75" customHeight="1" s="165"/>
    <row r="694" ht="15.75" customHeight="1" s="165"/>
    <row r="695" ht="15.75" customHeight="1" s="165"/>
    <row r="696" ht="15.75" customHeight="1" s="165"/>
    <row r="697" ht="15.75" customHeight="1" s="165"/>
    <row r="698" ht="15.75" customHeight="1" s="165"/>
    <row r="699" ht="15.75" customHeight="1" s="165"/>
    <row r="700" ht="15.75" customHeight="1" s="165"/>
    <row r="701" ht="15.75" customHeight="1" s="165"/>
    <row r="702" ht="15.75" customHeight="1" s="165"/>
    <row r="703" ht="15.75" customHeight="1" s="165"/>
    <row r="704" ht="15.75" customHeight="1" s="165"/>
    <row r="705" ht="15.75" customHeight="1" s="165"/>
    <row r="706" ht="15.75" customHeight="1" s="165"/>
    <row r="707" ht="15.75" customHeight="1" s="165"/>
    <row r="708" ht="15.75" customHeight="1" s="165"/>
    <row r="709" ht="15.75" customHeight="1" s="165"/>
    <row r="710" ht="15.75" customHeight="1" s="165"/>
    <row r="711" ht="15.75" customHeight="1" s="165"/>
    <row r="712" ht="15.75" customHeight="1" s="165"/>
    <row r="713" ht="15.75" customHeight="1" s="165"/>
    <row r="714" ht="15.75" customHeight="1" s="165"/>
    <row r="715" ht="15.75" customHeight="1" s="165"/>
    <row r="716" ht="15.75" customHeight="1" s="165"/>
    <row r="717" ht="15.75" customHeight="1" s="165"/>
    <row r="718" ht="15.75" customHeight="1" s="165"/>
    <row r="719" ht="15.75" customHeight="1" s="165"/>
    <row r="720" ht="15.75" customHeight="1" s="165"/>
    <row r="721" ht="15.75" customHeight="1" s="165"/>
    <row r="722" ht="15.75" customHeight="1" s="165"/>
    <row r="723" ht="15.75" customHeight="1" s="165"/>
    <row r="724" ht="15.75" customHeight="1" s="165"/>
    <row r="725" ht="15.75" customHeight="1" s="165"/>
    <row r="726" ht="15.75" customHeight="1" s="165"/>
    <row r="727" ht="15.75" customHeight="1" s="165"/>
    <row r="728" ht="15.75" customHeight="1" s="165"/>
    <row r="729" ht="15.75" customHeight="1" s="165"/>
    <row r="730" ht="15.75" customHeight="1" s="165"/>
    <row r="731" ht="15.75" customHeight="1" s="165"/>
    <row r="732" ht="15.75" customHeight="1" s="165"/>
    <row r="733" ht="15.75" customHeight="1" s="165"/>
    <row r="734" ht="15.75" customHeight="1" s="165"/>
    <row r="735" ht="15.75" customHeight="1" s="165"/>
    <row r="736" ht="15.75" customHeight="1" s="165"/>
    <row r="737" ht="15.75" customHeight="1" s="165"/>
    <row r="738" ht="15.75" customHeight="1" s="165"/>
    <row r="739" ht="15.75" customHeight="1" s="165"/>
    <row r="740" ht="15.75" customHeight="1" s="165"/>
    <row r="741" ht="15.75" customHeight="1" s="165"/>
    <row r="742" ht="15.75" customHeight="1" s="165"/>
    <row r="743" ht="15.75" customHeight="1" s="165"/>
    <row r="744" ht="15.75" customHeight="1" s="165"/>
    <row r="745" ht="15.75" customHeight="1" s="165"/>
    <row r="746" ht="15.75" customHeight="1" s="165"/>
    <row r="747" ht="15.75" customHeight="1" s="165"/>
    <row r="748" ht="15.75" customHeight="1" s="165"/>
    <row r="749" ht="15.75" customHeight="1" s="165"/>
    <row r="750" ht="15.75" customHeight="1" s="165"/>
    <row r="751" ht="15.75" customHeight="1" s="165"/>
    <row r="752" ht="15.75" customHeight="1" s="165"/>
    <row r="753" ht="15.75" customHeight="1" s="165"/>
    <row r="754" ht="15.75" customHeight="1" s="165"/>
    <row r="755" ht="15.75" customHeight="1" s="165"/>
    <row r="756" ht="15.75" customHeight="1" s="165"/>
    <row r="757" ht="15.75" customHeight="1" s="165"/>
    <row r="758" ht="15.75" customHeight="1" s="165"/>
    <row r="759" ht="15.75" customHeight="1" s="165"/>
    <row r="760" ht="15.75" customHeight="1" s="165"/>
    <row r="761" ht="15.75" customHeight="1" s="165"/>
    <row r="762" ht="15.75" customHeight="1" s="165"/>
    <row r="763" ht="15.75" customHeight="1" s="165"/>
    <row r="764" ht="15.75" customHeight="1" s="165"/>
    <row r="765" ht="15.75" customHeight="1" s="165"/>
    <row r="766" ht="15.75" customHeight="1" s="165"/>
    <row r="767" ht="15.75" customHeight="1" s="165"/>
    <row r="768" ht="15.75" customHeight="1" s="165"/>
    <row r="769" ht="15.75" customHeight="1" s="165"/>
    <row r="770" ht="15.75" customHeight="1" s="165"/>
    <row r="771" ht="15.75" customHeight="1" s="165"/>
    <row r="772" ht="15.75" customHeight="1" s="165"/>
    <row r="773" ht="15.75" customHeight="1" s="165"/>
    <row r="774" ht="15.75" customHeight="1" s="165"/>
    <row r="775" ht="15.75" customHeight="1" s="165"/>
    <row r="776" ht="15.75" customHeight="1" s="165"/>
    <row r="777" ht="15.75" customHeight="1" s="165"/>
    <row r="778" ht="15.75" customHeight="1" s="165"/>
    <row r="779" ht="15.75" customHeight="1" s="165"/>
    <row r="780" ht="15.75" customHeight="1" s="165"/>
    <row r="781" ht="15.75" customHeight="1" s="165"/>
    <row r="782" ht="15.75" customHeight="1" s="165"/>
    <row r="783" ht="15.75" customHeight="1" s="165"/>
    <row r="784" ht="15.75" customHeight="1" s="165"/>
    <row r="785" ht="15.75" customHeight="1" s="165"/>
    <row r="786" ht="15.75" customHeight="1" s="165"/>
    <row r="787" ht="15.75" customHeight="1" s="165"/>
    <row r="788" ht="15.75" customHeight="1" s="165"/>
    <row r="789" ht="15.75" customHeight="1" s="165"/>
    <row r="790" ht="15.75" customHeight="1" s="165"/>
    <row r="791" ht="15.75" customHeight="1" s="165"/>
    <row r="792" ht="15.75" customHeight="1" s="165"/>
    <row r="793" ht="15.75" customHeight="1" s="165"/>
    <row r="794" ht="15.75" customHeight="1" s="165"/>
    <row r="795" ht="15.75" customHeight="1" s="165"/>
    <row r="796" ht="15.75" customHeight="1" s="165"/>
    <row r="797" ht="15.75" customHeight="1" s="165"/>
    <row r="798" ht="15.75" customHeight="1" s="165"/>
    <row r="799" ht="15.75" customHeight="1" s="165"/>
    <row r="800" ht="15.75" customHeight="1" s="165"/>
    <row r="801" ht="15.75" customHeight="1" s="165"/>
    <row r="802" ht="15.75" customHeight="1" s="165"/>
    <row r="803" ht="15.75" customHeight="1" s="165"/>
    <row r="804" ht="15.75" customHeight="1" s="165"/>
    <row r="805" ht="15.75" customHeight="1" s="165"/>
    <row r="806" ht="15.75" customHeight="1" s="165"/>
    <row r="807" ht="15.75" customHeight="1" s="165"/>
    <row r="808" ht="15.75" customHeight="1" s="165"/>
    <row r="809" ht="15.75" customHeight="1" s="165"/>
    <row r="810" ht="15.75" customHeight="1" s="165"/>
    <row r="811" ht="15.75" customHeight="1" s="165"/>
    <row r="812" ht="15.75" customHeight="1" s="165"/>
    <row r="813" ht="15.75" customHeight="1" s="165"/>
    <row r="814" ht="15.75" customHeight="1" s="165"/>
    <row r="815" ht="15.75" customHeight="1" s="165"/>
    <row r="816" ht="15.75" customHeight="1" s="165"/>
    <row r="817" ht="15.75" customHeight="1" s="165"/>
    <row r="818" ht="15.75" customHeight="1" s="165"/>
    <row r="819" ht="15.75" customHeight="1" s="165"/>
    <row r="820" ht="15.75" customHeight="1" s="165"/>
    <row r="821" ht="15.75" customHeight="1" s="165"/>
    <row r="822" ht="15.75" customHeight="1" s="165"/>
    <row r="823" ht="15.75" customHeight="1" s="165"/>
    <row r="824" ht="15.75" customHeight="1" s="165"/>
    <row r="825" ht="15.75" customHeight="1" s="165"/>
    <row r="826" ht="15.75" customHeight="1" s="165"/>
    <row r="827" ht="15.75" customHeight="1" s="165"/>
    <row r="828" ht="15.75" customHeight="1" s="165"/>
    <row r="829" ht="15.75" customHeight="1" s="165"/>
    <row r="830" ht="15.75" customHeight="1" s="165"/>
    <row r="831" ht="15.75" customHeight="1" s="165"/>
    <row r="832" ht="15.75" customHeight="1" s="165"/>
    <row r="833" ht="15.75" customHeight="1" s="165"/>
    <row r="834" ht="15.75" customHeight="1" s="165"/>
    <row r="835" ht="15.75" customHeight="1" s="165"/>
    <row r="836" ht="15.75" customHeight="1" s="165"/>
    <row r="837" ht="15.75" customHeight="1" s="165"/>
    <row r="838" ht="15.75" customHeight="1" s="165"/>
    <row r="839" ht="15.75" customHeight="1" s="165"/>
    <row r="840" ht="15.75" customHeight="1" s="165"/>
    <row r="841" ht="15.75" customHeight="1" s="165"/>
    <row r="842" ht="15.75" customHeight="1" s="165"/>
    <row r="843" ht="15.75" customHeight="1" s="165"/>
    <row r="844" ht="15.75" customHeight="1" s="165"/>
    <row r="845" ht="15.75" customHeight="1" s="165"/>
    <row r="846" ht="15.75" customHeight="1" s="165"/>
    <row r="847" ht="15.75" customHeight="1" s="165"/>
    <row r="848" ht="15.75" customHeight="1" s="165"/>
    <row r="849" ht="15.75" customHeight="1" s="165"/>
    <row r="850" ht="15.75" customHeight="1" s="165"/>
    <row r="851" ht="15.75" customHeight="1" s="165"/>
    <row r="852" ht="15.75" customHeight="1" s="165"/>
    <row r="853" ht="15.75" customHeight="1" s="165"/>
    <row r="854" ht="15.75" customHeight="1" s="165"/>
    <row r="855" ht="15.75" customHeight="1" s="165"/>
    <row r="856" ht="15.75" customHeight="1" s="165"/>
    <row r="857" ht="15.75" customHeight="1" s="165"/>
    <row r="858" ht="15.75" customHeight="1" s="165"/>
    <row r="859" ht="15.75" customHeight="1" s="165"/>
    <row r="860" ht="15.75" customHeight="1" s="165"/>
    <row r="861" ht="15.75" customHeight="1" s="165"/>
    <row r="862" ht="15.75" customHeight="1" s="165"/>
    <row r="863" ht="15.75" customHeight="1" s="165"/>
    <row r="864" ht="15.75" customHeight="1" s="165"/>
    <row r="865" ht="15.75" customHeight="1" s="165"/>
    <row r="866" ht="15.75" customHeight="1" s="165"/>
    <row r="867" ht="15.75" customHeight="1" s="165"/>
    <row r="868" ht="15.75" customHeight="1" s="165"/>
    <row r="869" ht="15.75" customHeight="1" s="165"/>
    <row r="870" ht="15.75" customHeight="1" s="165"/>
    <row r="871" ht="15.75" customHeight="1" s="165"/>
    <row r="872" ht="15.75" customHeight="1" s="165"/>
    <row r="873" ht="15.75" customHeight="1" s="165"/>
    <row r="874" ht="15.75" customHeight="1" s="165"/>
    <row r="875" ht="15.75" customHeight="1" s="165"/>
    <row r="876" ht="15.75" customHeight="1" s="165"/>
    <row r="877" ht="15.75" customHeight="1" s="165"/>
    <row r="878" ht="15.75" customHeight="1" s="165"/>
    <row r="879" ht="15.75" customHeight="1" s="165"/>
    <row r="880" ht="15.75" customHeight="1" s="165"/>
    <row r="881" ht="15.75" customHeight="1" s="165"/>
    <row r="882" ht="15.75" customHeight="1" s="165"/>
    <row r="883" ht="15.75" customHeight="1" s="165"/>
    <row r="884" ht="15.75" customHeight="1" s="165"/>
    <row r="885" ht="15.75" customHeight="1" s="165"/>
    <row r="886" ht="15.75" customHeight="1" s="165"/>
    <row r="887" ht="15.75" customHeight="1" s="165"/>
    <row r="888" ht="15.75" customHeight="1" s="165"/>
    <row r="889" ht="15.75" customHeight="1" s="165"/>
    <row r="890" ht="15.75" customHeight="1" s="165"/>
    <row r="891" ht="15.75" customHeight="1" s="165"/>
    <row r="892" ht="15.75" customHeight="1" s="165"/>
    <row r="893" ht="15.75" customHeight="1" s="165"/>
    <row r="894" ht="15.75" customHeight="1" s="165"/>
    <row r="895" ht="15.75" customHeight="1" s="165"/>
    <row r="896" ht="15.75" customHeight="1" s="165"/>
    <row r="897" ht="15.75" customHeight="1" s="165"/>
    <row r="898" ht="15.75" customHeight="1" s="165"/>
    <row r="899" ht="15.75" customHeight="1" s="165"/>
    <row r="900" ht="15.75" customHeight="1" s="165"/>
    <row r="901" ht="15.75" customHeight="1" s="165"/>
    <row r="902" ht="15.75" customHeight="1" s="165"/>
    <row r="903" ht="15.75" customHeight="1" s="165"/>
    <row r="904" ht="15.75" customHeight="1" s="165"/>
    <row r="905" ht="15.75" customHeight="1" s="165"/>
    <row r="906" ht="15.75" customHeight="1" s="165"/>
    <row r="907" ht="15.75" customHeight="1" s="165"/>
    <row r="908" ht="15.75" customHeight="1" s="165"/>
    <row r="909" ht="15.75" customHeight="1" s="165"/>
    <row r="910" ht="15.75" customHeight="1" s="165"/>
    <row r="911" ht="15.75" customHeight="1" s="165"/>
    <row r="912" ht="15.75" customHeight="1" s="165"/>
    <row r="913" ht="15.75" customHeight="1" s="165"/>
    <row r="914" ht="15.75" customHeight="1" s="165"/>
    <row r="915" ht="15.75" customHeight="1" s="165"/>
    <row r="916" ht="15.75" customHeight="1" s="165"/>
    <row r="917" ht="15.75" customHeight="1" s="165"/>
    <row r="918" ht="15.75" customHeight="1" s="165"/>
    <row r="919" ht="15.75" customHeight="1" s="165"/>
    <row r="920" ht="15.75" customHeight="1" s="165"/>
    <row r="921" ht="15.75" customHeight="1" s="165"/>
    <row r="922" ht="15.75" customHeight="1" s="165"/>
    <row r="923" ht="15.75" customHeight="1" s="165"/>
    <row r="924" ht="15.75" customHeight="1" s="165"/>
    <row r="925" ht="15.75" customHeight="1" s="165"/>
    <row r="926" ht="15.75" customHeight="1" s="165"/>
    <row r="927" ht="15.75" customHeight="1" s="165"/>
    <row r="928" ht="15.75" customHeight="1" s="165"/>
    <row r="929" ht="15.75" customHeight="1" s="165"/>
    <row r="930" ht="15.75" customHeight="1" s="165"/>
    <row r="931" ht="15.75" customHeight="1" s="165"/>
    <row r="932" ht="15.75" customHeight="1" s="165"/>
    <row r="933" ht="15.75" customHeight="1" s="165"/>
    <row r="934" ht="15.75" customHeight="1" s="165"/>
    <row r="935" ht="15.75" customHeight="1" s="165"/>
    <row r="936" ht="15.75" customHeight="1" s="165"/>
    <row r="937" ht="15.75" customHeight="1" s="165"/>
    <row r="938" ht="15.75" customHeight="1" s="165"/>
    <row r="939" ht="15.75" customHeight="1" s="165"/>
    <row r="940" ht="15.75" customHeight="1" s="165"/>
    <row r="941" ht="15.75" customHeight="1" s="165"/>
    <row r="942" ht="15.75" customHeight="1" s="165"/>
    <row r="943" ht="15.75" customHeight="1" s="165"/>
    <row r="944" ht="15.75" customHeight="1" s="165"/>
    <row r="945" ht="15.75" customHeight="1" s="165"/>
    <row r="946" ht="15.75" customHeight="1" s="165"/>
    <row r="947" ht="15.75" customHeight="1" s="165"/>
    <row r="948" ht="15.75" customHeight="1" s="165"/>
    <row r="949" ht="15.75" customHeight="1" s="165"/>
    <row r="950" ht="15.75" customHeight="1" s="165"/>
    <row r="951" ht="15.75" customHeight="1" s="165"/>
    <row r="952" ht="15.75" customHeight="1" s="165"/>
    <row r="953" ht="15.75" customHeight="1" s="165"/>
    <row r="954" ht="15.75" customHeight="1" s="165"/>
    <row r="955" ht="15.75" customHeight="1" s="165"/>
    <row r="956" ht="15.75" customHeight="1" s="165"/>
    <row r="957" ht="15.75" customHeight="1" s="165"/>
    <row r="958" ht="15.75" customHeight="1" s="165"/>
    <row r="959" ht="15.75" customHeight="1" s="165"/>
    <row r="960" ht="15.75" customHeight="1" s="165"/>
    <row r="961" ht="15.75" customHeight="1" s="165"/>
    <row r="962" ht="15.75" customHeight="1" s="165"/>
    <row r="963" ht="15.75" customHeight="1" s="165"/>
    <row r="964" ht="15.75" customHeight="1" s="165"/>
    <row r="965" ht="15.75" customHeight="1" s="165"/>
    <row r="966" ht="15.75" customHeight="1" s="165"/>
    <row r="967" ht="15.75" customHeight="1" s="165"/>
    <row r="968" ht="15.75" customHeight="1" s="165"/>
    <row r="969" ht="15.75" customHeight="1" s="165"/>
    <row r="970" ht="15.75" customHeight="1" s="165"/>
    <row r="971" ht="15.75" customHeight="1" s="165"/>
    <row r="972" ht="15.75" customHeight="1" s="165"/>
    <row r="973" ht="15.75" customHeight="1" s="165"/>
    <row r="974" ht="15.75" customHeight="1" s="165"/>
    <row r="975" ht="15.75" customHeight="1" s="165"/>
    <row r="976" ht="15.75" customHeight="1" s="165"/>
    <row r="977" ht="15.75" customHeight="1" s="165"/>
    <row r="978" ht="15.75" customHeight="1" s="165"/>
    <row r="979" ht="15.75" customHeight="1" s="165"/>
    <row r="980" ht="15.75" customHeight="1" s="165"/>
    <row r="981" ht="15.75" customHeight="1" s="165"/>
    <row r="982" ht="15.75" customHeight="1" s="165"/>
    <row r="983" ht="15.75" customHeight="1" s="165"/>
    <row r="984" ht="15.75" customHeight="1" s="165"/>
    <row r="985" ht="15.75" customHeight="1" s="165"/>
    <row r="986" ht="15.75" customHeight="1" s="165"/>
    <row r="987" ht="15.75" customHeight="1" s="165"/>
    <row r="988" ht="15.75" customHeight="1" s="165"/>
    <row r="989" ht="15.75" customHeight="1" s="165"/>
    <row r="990" ht="15.75" customHeight="1" s="165"/>
    <row r="991" ht="15.75" customHeight="1" s="165"/>
    <row r="992" ht="15.75" customHeight="1" s="165"/>
    <row r="993" ht="15.75" customHeight="1" s="165"/>
    <row r="994" ht="15.75" customHeight="1" s="165"/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headerFooter>
    <oddHeader>&amp;LFacilitate_Test Case\Company&amp;Rv1.0</oddHeader>
    <oddFooter>&amp;L 02ae-BM/PM/HDCV/FSOFT v2/0&amp;CInternal use&amp;R&amp;P/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27.5" customWidth="1" style="165" min="1" max="1"/>
    <col width="41.13" customWidth="1" style="165" min="2" max="2"/>
    <col width="90.38" customWidth="1" style="165" min="3" max="3"/>
    <col width="83.38" customWidth="1" style="165" min="4" max="4"/>
    <col width="43.25" customWidth="1" style="165" min="5" max="5"/>
    <col width="10" customWidth="1" style="165" min="6" max="6"/>
    <col width="8.630000000000001" customWidth="1" style="165" min="7" max="7"/>
    <col width="14.25" customWidth="1" style="165" min="8" max="8"/>
    <col width="6.38" customWidth="1" style="165" min="9" max="9"/>
    <col width="4.75" customWidth="1" style="165" min="10" max="10"/>
    <col width="5.5" customWidth="1" style="165" min="11" max="11"/>
    <col width="6.38" customWidth="1" style="165" min="12" max="12"/>
    <col width="4.75" customWidth="1" style="165" min="13" max="13"/>
    <col width="5.5" customWidth="1" style="165" min="14" max="14"/>
    <col width="34.38" customWidth="1" style="165" min="15" max="15"/>
    <col width="10.13" customWidth="1" style="165" min="16" max="16"/>
    <col width="8.130000000000001" customWidth="1" style="165" min="17" max="17"/>
    <col width="6.5" customWidth="1" style="165" min="18" max="18"/>
    <col width="9" customWidth="1" style="165" min="19" max="19"/>
    <col width="13" customWidth="1" style="165" min="20" max="20"/>
    <col width="13" customWidth="1" style="165" min="21" max="21"/>
    <col width="13" customWidth="1" style="165" min="22" max="22"/>
    <col width="13" customWidth="1" style="165" min="23" max="23"/>
    <col width="13" customWidth="1" style="165" min="24" max="24"/>
    <col width="13" customWidth="1" style="165" min="25" max="25"/>
    <col width="13" customWidth="1" style="165" min="26" max="26"/>
  </cols>
  <sheetData>
    <row r="1" ht="12.75" customHeight="1" s="165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5" t="n"/>
    </row>
    <row r="2" ht="15" customHeight="1" s="165">
      <c r="A2" s="200" t="inlineStr">
        <is>
          <t>Workflow</t>
        </is>
      </c>
      <c r="B2" s="201" t="inlineStr">
        <is>
          <t>Iteration 2 - Logout</t>
        </is>
      </c>
      <c r="C2" s="196" t="n"/>
      <c r="D2" s="196" t="n"/>
      <c r="E2" s="197" t="n"/>
      <c r="F2" s="202" t="n"/>
      <c r="G2" s="203" t="n"/>
      <c r="H2" s="204" t="n"/>
      <c r="I2" s="202" t="n"/>
      <c r="J2" s="203" t="n"/>
      <c r="K2" s="204" t="n"/>
      <c r="L2" s="202" t="n"/>
      <c r="M2" s="203" t="n"/>
      <c r="N2" s="204" t="n"/>
      <c r="O2" s="204" t="n"/>
      <c r="P2" s="204" t="n"/>
      <c r="Q2" s="205" t="n"/>
    </row>
    <row r="3" ht="12.75" customHeight="1" s="165">
      <c r="A3" s="206" t="inlineStr">
        <is>
          <t>Test requirement</t>
        </is>
      </c>
      <c r="B3" s="207" t="inlineStr">
        <is>
          <t>Verify all functional and security logout requirements.</t>
        </is>
      </c>
      <c r="C3" s="167" t="n"/>
      <c r="D3" s="167" t="n"/>
      <c r="E3" s="199" t="n"/>
      <c r="F3" s="202" t="n"/>
      <c r="G3" s="203" t="n"/>
      <c r="H3" s="204" t="n"/>
      <c r="I3" s="202" t="n"/>
      <c r="J3" s="203" t="n"/>
      <c r="K3" s="204" t="n"/>
      <c r="L3" s="202" t="n"/>
      <c r="M3" s="203" t="n"/>
      <c r="N3" s="204" t="n"/>
      <c r="O3" s="204" t="n"/>
      <c r="P3" s="204" t="n"/>
      <c r="Q3" s="205" t="n"/>
    </row>
    <row r="4" ht="18" customHeight="1" s="165">
      <c r="A4" s="206" t="inlineStr">
        <is>
          <t>Number of TCs</t>
        </is>
      </c>
      <c r="B4" s="207" t="n">
        <v>1</v>
      </c>
      <c r="C4" s="167" t="n"/>
      <c r="D4" s="167" t="n"/>
      <c r="E4" s="199" t="n"/>
      <c r="F4" s="202" t="n"/>
      <c r="G4" s="203" t="n"/>
      <c r="H4" s="204" t="n"/>
      <c r="I4" s="202" t="n"/>
      <c r="J4" s="203" t="n"/>
      <c r="K4" s="204" t="n"/>
      <c r="L4" s="202" t="n"/>
      <c r="M4" s="203" t="n"/>
      <c r="N4" s="204" t="n"/>
      <c r="O4" s="204" t="n"/>
      <c r="P4" s="204" t="n"/>
      <c r="Q4" s="205" t="n"/>
    </row>
    <row r="5" ht="19.5" customHeight="1" s="165">
      <c r="A5" s="208" t="inlineStr">
        <is>
          <t>Testing Round</t>
        </is>
      </c>
      <c r="B5" s="209" t="inlineStr">
        <is>
          <t>Passed</t>
        </is>
      </c>
      <c r="C5" s="209" t="inlineStr">
        <is>
          <t>Failed</t>
        </is>
      </c>
      <c r="D5" s="209" t="inlineStr">
        <is>
          <t>Pending</t>
        </is>
      </c>
      <c r="E5" s="210" t="inlineStr">
        <is>
          <t>N/A</t>
        </is>
      </c>
      <c r="F5" s="211" t="n"/>
      <c r="G5" s="211" t="n"/>
      <c r="H5" s="194" t="n"/>
      <c r="I5" s="211" t="n"/>
      <c r="J5" s="211" t="n"/>
      <c r="K5" s="194" t="n"/>
      <c r="L5" s="211" t="n"/>
      <c r="M5" s="211" t="n"/>
      <c r="N5" s="194" t="n"/>
      <c r="O5" s="194" t="n"/>
      <c r="P5" s="194" t="n"/>
      <c r="Q5" s="212" t="n"/>
    </row>
    <row r="6" ht="15" customHeight="1" s="165">
      <c r="A6" s="208" t="inlineStr">
        <is>
          <t>Round 1</t>
        </is>
      </c>
      <c r="B6" s="213">
        <f>COUNTIF($F11:$F12,B5)</f>
        <v/>
      </c>
      <c r="C6" s="213">
        <f>COUNTIF($F11:$F12,C5)</f>
        <v/>
      </c>
      <c r="D6" s="213">
        <f>COUNTIF($F11:$F12,D5)</f>
        <v/>
      </c>
      <c r="E6" s="214">
        <f>COUNTIF($F11:$F12,E5)</f>
        <v/>
      </c>
      <c r="F6" s="215" t="n"/>
      <c r="G6" s="215" t="n"/>
      <c r="H6" s="194" t="n"/>
      <c r="I6" s="215" t="n"/>
      <c r="J6" s="215" t="n"/>
      <c r="K6" s="194" t="n"/>
      <c r="L6" s="215" t="n"/>
      <c r="M6" s="215" t="n"/>
      <c r="N6" s="194" t="n"/>
      <c r="O6" s="194" t="n"/>
      <c r="P6" s="194" t="n"/>
      <c r="Q6" s="212" t="n"/>
    </row>
    <row r="7" ht="15" customHeight="1" s="165">
      <c r="A7" s="208" t="inlineStr">
        <is>
          <t>Round 2</t>
        </is>
      </c>
      <c r="B7" s="213" t="n">
        <v>0</v>
      </c>
      <c r="C7" s="213">
        <f>COUNTIF($F11:$F12,C5)</f>
        <v/>
      </c>
      <c r="D7" s="213" t="n">
        <v>0</v>
      </c>
      <c r="E7" s="214">
        <f>B4-B7-C7-D7</f>
        <v/>
      </c>
      <c r="F7" s="215" t="n"/>
      <c r="G7" s="215" t="n"/>
      <c r="H7" s="194" t="n"/>
      <c r="I7" s="215" t="n"/>
      <c r="J7" s="215" t="n"/>
      <c r="K7" s="194" t="n"/>
      <c r="L7" s="215" t="n"/>
      <c r="M7" s="215" t="n"/>
      <c r="N7" s="194" t="n"/>
      <c r="O7" s="194" t="n"/>
      <c r="P7" s="194" t="n"/>
      <c r="Q7" s="212" t="n"/>
    </row>
    <row r="8" ht="15" customHeight="1" s="165">
      <c r="A8" s="216" t="inlineStr">
        <is>
          <t>Round 3</t>
        </is>
      </c>
      <c r="B8" s="217" t="n">
        <v>0</v>
      </c>
      <c r="C8" s="217">
        <f>COUNTIF($F11:$F12,C5)</f>
        <v/>
      </c>
      <c r="D8" s="217" t="n">
        <v>0</v>
      </c>
      <c r="E8" s="218">
        <f>B4-B8-C8-D8</f>
        <v/>
      </c>
      <c r="F8" s="215" t="n"/>
      <c r="G8" s="215" t="n"/>
      <c r="H8" s="194" t="n"/>
      <c r="I8" s="215" t="n"/>
      <c r="J8" s="215" t="n"/>
      <c r="K8" s="194" t="n"/>
      <c r="L8" s="215" t="n"/>
      <c r="M8" s="215" t="n"/>
      <c r="N8" s="194" t="n"/>
      <c r="O8" s="194" t="n"/>
      <c r="P8" s="194" t="n"/>
      <c r="Q8" s="212" t="n"/>
    </row>
    <row r="9" ht="15" customHeight="1" s="165">
      <c r="A9" s="194" t="n"/>
      <c r="B9" s="194" t="n"/>
      <c r="C9" s="194" t="n"/>
      <c r="D9" s="194" t="n"/>
      <c r="E9" s="194" t="n"/>
      <c r="F9" s="219" t="n"/>
      <c r="G9" s="194" t="n"/>
      <c r="H9" s="194" t="n"/>
      <c r="I9" s="219" t="n"/>
      <c r="J9" s="194" t="n"/>
      <c r="K9" s="194" t="n"/>
      <c r="L9" s="219" t="n"/>
      <c r="M9" s="194" t="n"/>
      <c r="N9" s="194" t="n"/>
      <c r="O9" s="194" t="n"/>
      <c r="P9" s="194" t="n"/>
      <c r="Q9" s="212" t="n"/>
    </row>
    <row r="10" ht="25.5" customHeight="1" s="165">
      <c r="A10" s="220" t="inlineStr">
        <is>
          <t>Test Case ID</t>
        </is>
      </c>
      <c r="B10" s="220" t="inlineStr">
        <is>
          <t>Test Case Description</t>
        </is>
      </c>
      <c r="C10" s="220" t="inlineStr">
        <is>
          <t>Test Case Procedure</t>
        </is>
      </c>
      <c r="D10" s="220" t="inlineStr">
        <is>
          <t>Expected Results</t>
        </is>
      </c>
      <c r="E10" s="220" t="inlineStr">
        <is>
          <t>Pre-conditions</t>
        </is>
      </c>
      <c r="F10" s="220" t="inlineStr">
        <is>
          <t>Round 1</t>
        </is>
      </c>
      <c r="G10" s="220" t="inlineStr">
        <is>
          <t>Test date</t>
        </is>
      </c>
      <c r="H10" s="220" t="inlineStr">
        <is>
          <t>Tester</t>
        </is>
      </c>
      <c r="I10" s="220" t="inlineStr">
        <is>
          <t>Round 2</t>
        </is>
      </c>
      <c r="J10" s="220" t="inlineStr">
        <is>
          <t>Test date</t>
        </is>
      </c>
      <c r="K10" s="220" t="inlineStr">
        <is>
          <t>Tester</t>
        </is>
      </c>
      <c r="L10" s="220" t="inlineStr">
        <is>
          <t>Round 3</t>
        </is>
      </c>
      <c r="M10" s="220" t="inlineStr">
        <is>
          <t>Test date</t>
        </is>
      </c>
      <c r="N10" s="220" t="inlineStr">
        <is>
          <t>Tester</t>
        </is>
      </c>
      <c r="O10" s="220" t="inlineStr">
        <is>
          <t>Note</t>
        </is>
      </c>
      <c r="P10" s="122" t="n"/>
      <c r="Q10" s="221" t="n"/>
    </row>
    <row r="11">
      <c r="A11" s="222" t="inlineStr">
        <is>
          <t>Scenario 1 - Successful Logout</t>
        </is>
      </c>
      <c r="B11" s="232" t="n"/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2" t="n"/>
      <c r="M11" s="232" t="n"/>
      <c r="N11" s="232" t="n"/>
      <c r="O11" s="233" t="n"/>
    </row>
    <row r="12">
      <c r="A12" s="223" t="inlineStr">
        <is>
          <t>TC01</t>
        </is>
      </c>
      <c r="B12" s="224" t="inlineStr">
        <is>
          <t>Verify successful logout from the system.</t>
        </is>
      </c>
      <c r="C12" s="224" t="inlineStr">
        <is>
          <t>1. Log in to the application.
2. Click the 'Logout' button on the Sidebar.
3. Verify session termination and redirect.</t>
        </is>
      </c>
      <c r="D12" s="224" t="inlineStr">
        <is>
          <t>System invalidates the session, clears all session attributes, and redirects to Home page as Guest with a logout success message.</t>
        </is>
      </c>
      <c r="E12" s="224" t="inlineStr">
        <is>
          <t>User is logged in.</t>
        </is>
      </c>
      <c r="F12" s="223" t="inlineStr">
        <is>
          <t>Passed</t>
        </is>
      </c>
      <c r="G12" s="234" t="n">
        <v>46199</v>
      </c>
      <c r="H12" s="223" t="inlineStr">
        <is>
          <t>LUCTV</t>
        </is>
      </c>
      <c r="I12" s="223" t="inlineStr">
        <is>
          <t>N/A</t>
        </is>
      </c>
      <c r="J12" s="223" t="n"/>
      <c r="K12" s="223" t="n"/>
      <c r="L12" s="223" t="inlineStr">
        <is>
          <t>N/A</t>
        </is>
      </c>
      <c r="M12" s="223" t="n"/>
      <c r="N12" s="223" t="n"/>
      <c r="O12" s="223" t="inlineStr">
        <is>
          <t>Iteration 2.</t>
        </is>
      </c>
    </row>
  </sheetData>
  <mergeCells count="4">
    <mergeCell ref="A11:O11"/>
    <mergeCell ref="B3:E3"/>
    <mergeCell ref="B2:E2"/>
    <mergeCell ref="B4:E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selection activeCell="A1" sqref="A1"/>
    </sheetView>
  </sheetViews>
  <sheetFormatPr baseColWidth="8" defaultRowHeight="15"/>
  <cols>
    <col width="27.5" customWidth="1" style="165" min="1" max="1"/>
    <col width="41.13" customWidth="1" style="165" min="2" max="2"/>
    <col width="90.38" customWidth="1" style="165" min="3" max="3"/>
    <col width="83.38" customWidth="1" style="165" min="4" max="4"/>
    <col width="43.25" customWidth="1" style="165" min="5" max="5"/>
    <col width="10" customWidth="1" style="165" min="6" max="6"/>
    <col width="8.630000000000001" customWidth="1" style="165" min="7" max="7"/>
    <col width="14.25" customWidth="1" style="165" min="8" max="8"/>
    <col width="6.38" customWidth="1" style="165" min="9" max="9"/>
    <col width="4.75" customWidth="1" style="165" min="10" max="10"/>
    <col width="5.5" customWidth="1" style="165" min="11" max="11"/>
    <col width="6.38" customWidth="1" style="165" min="12" max="12"/>
    <col width="4.75" customWidth="1" style="165" min="13" max="13"/>
    <col width="5.5" customWidth="1" style="165" min="14" max="14"/>
    <col width="34.38" customWidth="1" style="165" min="15" max="15"/>
    <col width="10.13" customWidth="1" style="165" min="16" max="16"/>
    <col width="8.130000000000001" customWidth="1" style="165" min="17" max="17"/>
    <col width="6.5" customWidth="1" style="165" min="18" max="18"/>
    <col width="9" customWidth="1" style="165" min="19" max="19"/>
    <col width="13" customWidth="1" style="165" min="20" max="20"/>
    <col width="13" customWidth="1" style="165" min="21" max="21"/>
    <col width="13" customWidth="1" style="165" min="22" max="22"/>
    <col width="13" customWidth="1" style="165" min="23" max="23"/>
    <col width="13" customWidth="1" style="165" min="24" max="24"/>
    <col width="13" customWidth="1" style="165" min="25" max="25"/>
    <col width="13" customWidth="1" style="165" min="26" max="26"/>
  </cols>
  <sheetData>
    <row r="1" ht="12.75" customHeight="1" s="165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5" t="n"/>
    </row>
    <row r="2" ht="15" customHeight="1" s="165">
      <c r="A2" s="200" t="inlineStr">
        <is>
          <t>Workflow</t>
        </is>
      </c>
      <c r="B2" s="201" t="inlineStr">
        <is>
          <t>Iteration 2 - Request Password Reset</t>
        </is>
      </c>
      <c r="C2" s="196" t="n"/>
      <c r="D2" s="196" t="n"/>
      <c r="E2" s="197" t="n"/>
      <c r="F2" s="202" t="n"/>
      <c r="G2" s="203" t="n"/>
      <c r="H2" s="204" t="n"/>
      <c r="I2" s="202" t="n"/>
      <c r="J2" s="203" t="n"/>
      <c r="K2" s="204" t="n"/>
      <c r="L2" s="202" t="n"/>
      <c r="M2" s="203" t="n"/>
      <c r="N2" s="204" t="n"/>
      <c r="O2" s="204" t="n"/>
      <c r="P2" s="204" t="n"/>
      <c r="Q2" s="205" t="n"/>
    </row>
    <row r="3" ht="12.75" customHeight="1" s="165">
      <c r="A3" s="206" t="inlineStr">
        <is>
          <t>Test requirement</t>
        </is>
      </c>
      <c r="B3" s="207" t="inlineStr">
        <is>
          <t>Verify password recovery link request with email validation.</t>
        </is>
      </c>
      <c r="C3" s="167" t="n"/>
      <c r="D3" s="167" t="n"/>
      <c r="E3" s="199" t="n"/>
      <c r="F3" s="202" t="n"/>
      <c r="G3" s="203" t="n"/>
      <c r="H3" s="204" t="n"/>
      <c r="I3" s="202" t="n"/>
      <c r="J3" s="203" t="n"/>
      <c r="K3" s="204" t="n"/>
      <c r="L3" s="202" t="n"/>
      <c r="M3" s="203" t="n"/>
      <c r="N3" s="204" t="n"/>
      <c r="O3" s="204" t="n"/>
      <c r="P3" s="204" t="n"/>
      <c r="Q3" s="205" t="n"/>
    </row>
    <row r="4" ht="18" customHeight="1" s="165">
      <c r="A4" s="206" t="inlineStr">
        <is>
          <t>Number of TCs</t>
        </is>
      </c>
      <c r="B4" s="207" t="n">
        <v>3</v>
      </c>
      <c r="C4" s="167" t="n"/>
      <c r="D4" s="167" t="n"/>
      <c r="E4" s="199" t="n"/>
      <c r="F4" s="202" t="n"/>
      <c r="G4" s="203" t="n"/>
      <c r="H4" s="204" t="n"/>
      <c r="I4" s="202" t="n"/>
      <c r="J4" s="203" t="n"/>
      <c r="K4" s="204" t="n"/>
      <c r="L4" s="202" t="n"/>
      <c r="M4" s="203" t="n"/>
      <c r="N4" s="204" t="n"/>
      <c r="O4" s="204" t="n"/>
      <c r="P4" s="204" t="n"/>
      <c r="Q4" s="205" t="n"/>
    </row>
    <row r="5" ht="19.5" customHeight="1" s="165">
      <c r="A5" s="208" t="inlineStr">
        <is>
          <t>Testing Round</t>
        </is>
      </c>
      <c r="B5" s="209" t="inlineStr">
        <is>
          <t>Passed</t>
        </is>
      </c>
      <c r="C5" s="209" t="inlineStr">
        <is>
          <t>Failed</t>
        </is>
      </c>
      <c r="D5" s="209" t="inlineStr">
        <is>
          <t>Pending</t>
        </is>
      </c>
      <c r="E5" s="210" t="inlineStr">
        <is>
          <t>N/A</t>
        </is>
      </c>
      <c r="F5" s="211" t="n"/>
      <c r="G5" s="211" t="n"/>
      <c r="H5" s="194" t="n"/>
      <c r="I5" s="211" t="n"/>
      <c r="J5" s="211" t="n"/>
      <c r="K5" s="194" t="n"/>
      <c r="L5" s="211" t="n"/>
      <c r="M5" s="211" t="n"/>
      <c r="N5" s="194" t="n"/>
      <c r="O5" s="194" t="n"/>
      <c r="P5" s="194" t="n"/>
      <c r="Q5" s="212" t="n"/>
    </row>
    <row r="6" ht="15" customHeight="1" s="165">
      <c r="A6" s="208" t="inlineStr">
        <is>
          <t>Round 1</t>
        </is>
      </c>
      <c r="B6" s="213">
        <f>COUNTIF($F11:$F15,B5)</f>
        <v/>
      </c>
      <c r="C6" s="213">
        <f>COUNTIF($F11:$F15,C5)</f>
        <v/>
      </c>
      <c r="D6" s="213">
        <f>COUNTIF($F11:$F15,D5)</f>
        <v/>
      </c>
      <c r="E6" s="214">
        <f>COUNTIF($F11:$F15,E5)</f>
        <v/>
      </c>
      <c r="F6" s="215" t="n"/>
      <c r="G6" s="215" t="n"/>
      <c r="H6" s="194" t="n"/>
      <c r="I6" s="215" t="n"/>
      <c r="J6" s="215" t="n"/>
      <c r="K6" s="194" t="n"/>
      <c r="L6" s="215" t="n"/>
      <c r="M6" s="215" t="n"/>
      <c r="N6" s="194" t="n"/>
      <c r="O6" s="194" t="n"/>
      <c r="P6" s="194" t="n"/>
      <c r="Q6" s="212" t="n"/>
    </row>
    <row r="7" ht="15" customHeight="1" s="165">
      <c r="A7" s="208" t="inlineStr">
        <is>
          <t>Round 2</t>
        </is>
      </c>
      <c r="B7" s="213" t="n">
        <v>0</v>
      </c>
      <c r="C7" s="213">
        <f>COUNTIF($F11:$F15,C5)</f>
        <v/>
      </c>
      <c r="D7" s="213" t="n">
        <v>0</v>
      </c>
      <c r="E7" s="214">
        <f>B4-B7-C7-D7</f>
        <v/>
      </c>
      <c r="F7" s="215" t="n"/>
      <c r="G7" s="215" t="n"/>
      <c r="H7" s="194" t="n"/>
      <c r="I7" s="215" t="n"/>
      <c r="J7" s="215" t="n"/>
      <c r="K7" s="194" t="n"/>
      <c r="L7" s="215" t="n"/>
      <c r="M7" s="215" t="n"/>
      <c r="N7" s="194" t="n"/>
      <c r="O7" s="194" t="n"/>
      <c r="P7" s="194" t="n"/>
      <c r="Q7" s="212" t="n"/>
    </row>
    <row r="8" ht="15" customHeight="1" s="165">
      <c r="A8" s="216" t="inlineStr">
        <is>
          <t>Round 3</t>
        </is>
      </c>
      <c r="B8" s="217" t="n">
        <v>0</v>
      </c>
      <c r="C8" s="217">
        <f>COUNTIF($F11:$F15,C5)</f>
        <v/>
      </c>
      <c r="D8" s="217" t="n">
        <v>0</v>
      </c>
      <c r="E8" s="218">
        <f>B4-B8-C8-D8</f>
        <v/>
      </c>
      <c r="F8" s="215" t="n"/>
      <c r="G8" s="215" t="n"/>
      <c r="H8" s="194" t="n"/>
      <c r="I8" s="215" t="n"/>
      <c r="J8" s="215" t="n"/>
      <c r="K8" s="194" t="n"/>
      <c r="L8" s="215" t="n"/>
      <c r="M8" s="215" t="n"/>
      <c r="N8" s="194" t="n"/>
      <c r="O8" s="194" t="n"/>
      <c r="P8" s="194" t="n"/>
      <c r="Q8" s="212" t="n"/>
    </row>
    <row r="9" ht="15" customHeight="1" s="165">
      <c r="A9" s="194" t="n"/>
      <c r="B9" s="194" t="n"/>
      <c r="C9" s="194" t="n"/>
      <c r="D9" s="194" t="n"/>
      <c r="E9" s="194" t="n"/>
      <c r="F9" s="219" t="n"/>
      <c r="G9" s="194" t="n"/>
      <c r="H9" s="194" t="n"/>
      <c r="I9" s="219" t="n"/>
      <c r="J9" s="194" t="n"/>
      <c r="K9" s="194" t="n"/>
      <c r="L9" s="219" t="n"/>
      <c r="M9" s="194" t="n"/>
      <c r="N9" s="194" t="n"/>
      <c r="O9" s="194" t="n"/>
      <c r="P9" s="194" t="n"/>
      <c r="Q9" s="212" t="n"/>
    </row>
    <row r="10" ht="25.5" customHeight="1" s="165">
      <c r="A10" s="220" t="inlineStr">
        <is>
          <t>Test Case ID</t>
        </is>
      </c>
      <c r="B10" s="220" t="inlineStr">
        <is>
          <t>Test Case Description</t>
        </is>
      </c>
      <c r="C10" s="220" t="inlineStr">
        <is>
          <t>Test Case Procedure</t>
        </is>
      </c>
      <c r="D10" s="220" t="inlineStr">
        <is>
          <t>Expected Results</t>
        </is>
      </c>
      <c r="E10" s="220" t="inlineStr">
        <is>
          <t>Pre-conditions</t>
        </is>
      </c>
      <c r="F10" s="220" t="inlineStr">
        <is>
          <t>Round 1</t>
        </is>
      </c>
      <c r="G10" s="220" t="inlineStr">
        <is>
          <t>Test date</t>
        </is>
      </c>
      <c r="H10" s="220" t="inlineStr">
        <is>
          <t>Tester</t>
        </is>
      </c>
      <c r="I10" s="220" t="inlineStr">
        <is>
          <t>Round 2</t>
        </is>
      </c>
      <c r="J10" s="220" t="inlineStr">
        <is>
          <t>Test date</t>
        </is>
      </c>
      <c r="K10" s="220" t="inlineStr">
        <is>
          <t>Tester</t>
        </is>
      </c>
      <c r="L10" s="220" t="inlineStr">
        <is>
          <t>Round 3</t>
        </is>
      </c>
      <c r="M10" s="220" t="inlineStr">
        <is>
          <t>Test date</t>
        </is>
      </c>
      <c r="N10" s="220" t="inlineStr">
        <is>
          <t>Tester</t>
        </is>
      </c>
      <c r="O10" s="220" t="inlineStr">
        <is>
          <t>Note</t>
        </is>
      </c>
      <c r="P10" s="122" t="n"/>
      <c r="Q10" s="221" t="n"/>
    </row>
    <row r="11">
      <c r="A11" s="222" t="inlineStr">
        <is>
          <t>Scenario 1 - Successful Recovery Request</t>
        </is>
      </c>
      <c r="B11" s="232" t="n"/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2" t="n"/>
      <c r="M11" s="232" t="n"/>
      <c r="N11" s="232" t="n"/>
      <c r="O11" s="233" t="n"/>
    </row>
    <row r="12">
      <c r="A12" s="223" t="inlineStr">
        <is>
          <t>TC01</t>
        </is>
      </c>
      <c r="B12" s="224" t="inlineStr">
        <is>
          <t>Verify recovery request with a valid registered email address.</t>
        </is>
      </c>
      <c r="C12" s="224" t="inlineStr">
        <is>
          <t>1. Navigate to the Forgot Password page.
2. Enter a registered email address.
3. Click 'Send' button.</t>
        </is>
      </c>
      <c r="D12" s="224" t="inlineStr">
        <is>
          <t>System generates a unique token in DB (expiring in 15 mins) and sends an HTML email with the reset link successfully.</t>
        </is>
      </c>
      <c r="E12" s="224" t="inlineStr">
        <is>
          <t>Guest does not have active session.</t>
        </is>
      </c>
      <c r="F12" s="223" t="inlineStr">
        <is>
          <t>Passed</t>
        </is>
      </c>
      <c r="G12" s="234" t="n">
        <v>46199</v>
      </c>
      <c r="H12" s="223" t="inlineStr">
        <is>
          <t>LUCTV</t>
        </is>
      </c>
      <c r="I12" s="223" t="inlineStr">
        <is>
          <t>N/A</t>
        </is>
      </c>
      <c r="J12" s="223" t="n"/>
      <c r="K12" s="223" t="n"/>
      <c r="L12" s="223" t="inlineStr">
        <is>
          <t>N/A</t>
        </is>
      </c>
      <c r="M12" s="223" t="n"/>
      <c r="N12" s="223" t="n"/>
      <c r="O12" s="223" t="inlineStr">
        <is>
          <t>Iteration 2.</t>
        </is>
      </c>
    </row>
    <row r="13">
      <c r="A13" s="222" t="inlineStr">
        <is>
          <t>Scenario 2 - Invalid Input Handlings</t>
        </is>
      </c>
      <c r="B13" s="232" t="n"/>
      <c r="C13" s="232" t="n"/>
      <c r="D13" s="232" t="n"/>
      <c r="E13" s="232" t="n"/>
      <c r="F13" s="232" t="n"/>
      <c r="G13" s="232" t="n"/>
      <c r="H13" s="232" t="n"/>
      <c r="I13" s="232" t="n"/>
      <c r="J13" s="232" t="n"/>
      <c r="K13" s="232" t="n"/>
      <c r="L13" s="232" t="n"/>
      <c r="M13" s="232" t="n"/>
      <c r="N13" s="232" t="n"/>
      <c r="O13" s="233" t="n"/>
    </row>
    <row r="14">
      <c r="A14" s="223" t="inlineStr">
        <is>
          <t>TC02</t>
        </is>
      </c>
      <c r="B14" s="224" t="inlineStr">
        <is>
          <t>Verify validation when email input is empty.</t>
        </is>
      </c>
      <c r="C14" s="224" t="inlineStr">
        <is>
          <t>1. Go to Forgot Password page.
2. Leave email blank.
3. Click 'Send' button.</t>
        </is>
      </c>
      <c r="D14" s="224" t="inlineStr">
        <is>
          <t>System blocks submit and displays warning message: 'Vui lòng nhập địa chỉ email!'.</t>
        </is>
      </c>
      <c r="E14" s="224" t="inlineStr">
        <is>
          <t>Guest is on Forgot Password page.</t>
        </is>
      </c>
      <c r="F14" s="223" t="inlineStr">
        <is>
          <t>Passed</t>
        </is>
      </c>
      <c r="G14" s="234" t="n">
        <v>46199</v>
      </c>
      <c r="H14" s="223" t="inlineStr">
        <is>
          <t>LUCTV</t>
        </is>
      </c>
      <c r="I14" s="223" t="inlineStr">
        <is>
          <t>N/A</t>
        </is>
      </c>
      <c r="J14" s="223" t="n"/>
      <c r="K14" s="223" t="n"/>
      <c r="L14" s="223" t="inlineStr">
        <is>
          <t>N/A</t>
        </is>
      </c>
      <c r="M14" s="223" t="n"/>
      <c r="N14" s="223" t="n"/>
      <c r="O14" s="223" t="inlineStr">
        <is>
          <t>Iteration 2.</t>
        </is>
      </c>
    </row>
    <row r="15">
      <c r="A15" s="223" t="inlineStr">
        <is>
          <t>TC03</t>
        </is>
      </c>
      <c r="B15" s="224" t="inlineStr">
        <is>
          <t>Verify validation when email address is not registered.</t>
        </is>
      </c>
      <c r="C15" s="224" t="inlineStr">
        <is>
          <t>1. Enter an unregistered email (e.g., nonexist@domain.com).
2. Click 'Send' button.</t>
        </is>
      </c>
      <c r="D15" s="224" t="inlineStr">
        <is>
          <t>System displays warning message: 'Địa chỉ email không tồn tại trong hệ thống!'.</t>
        </is>
      </c>
      <c r="E15" s="224" t="inlineStr">
        <is>
          <t>Guest is on Forgot Password page.</t>
        </is>
      </c>
      <c r="F15" s="223" t="inlineStr">
        <is>
          <t>Passed</t>
        </is>
      </c>
      <c r="G15" s="234" t="n">
        <v>46199</v>
      </c>
      <c r="H15" s="223" t="inlineStr">
        <is>
          <t>LUCTV</t>
        </is>
      </c>
      <c r="I15" s="223" t="inlineStr">
        <is>
          <t>N/A</t>
        </is>
      </c>
      <c r="J15" s="223" t="n"/>
      <c r="K15" s="223" t="n"/>
      <c r="L15" s="223" t="inlineStr">
        <is>
          <t>N/A</t>
        </is>
      </c>
      <c r="M15" s="223" t="n"/>
      <c r="N15" s="223" t="n"/>
      <c r="O15" s="223" t="inlineStr">
        <is>
          <t>Iteration 2.</t>
        </is>
      </c>
    </row>
  </sheetData>
  <mergeCells count="5">
    <mergeCell ref="B4:E4"/>
    <mergeCell ref="A13:O13"/>
    <mergeCell ref="A11:O11"/>
    <mergeCell ref="B3:E3"/>
    <mergeCell ref="B2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27.5" customWidth="1" style="165" min="1" max="1"/>
    <col width="41.13" customWidth="1" style="165" min="2" max="2"/>
    <col width="90.38" customWidth="1" style="165" min="3" max="3"/>
    <col width="83.38" customWidth="1" style="165" min="4" max="4"/>
    <col width="43.25" customWidth="1" style="165" min="5" max="5"/>
    <col width="10" customWidth="1" style="165" min="6" max="6"/>
    <col width="8.630000000000001" customWidth="1" style="165" min="7" max="7"/>
    <col width="14.25" customWidth="1" style="165" min="8" max="8"/>
    <col width="6.38" customWidth="1" style="165" min="9" max="9"/>
    <col width="4.75" customWidth="1" style="165" min="10" max="10"/>
    <col width="5.5" customWidth="1" style="165" min="11" max="11"/>
    <col width="6.38" customWidth="1" style="165" min="12" max="12"/>
    <col width="4.75" customWidth="1" style="165" min="13" max="13"/>
    <col width="5.5" customWidth="1" style="165" min="14" max="14"/>
    <col width="34.38" customWidth="1" style="165" min="15" max="15"/>
    <col width="10.13" customWidth="1" style="165" min="16" max="16"/>
    <col width="8.130000000000001" customWidth="1" style="165" min="17" max="17"/>
    <col width="6.5" customWidth="1" style="165" min="18" max="18"/>
    <col width="9" customWidth="1" style="165" min="19" max="19"/>
    <col width="13" customWidth="1" style="165" min="20" max="20"/>
    <col width="13" customWidth="1" style="165" min="21" max="21"/>
    <col width="13" customWidth="1" style="165" min="22" max="22"/>
    <col width="13" customWidth="1" style="165" min="23" max="23"/>
    <col width="13" customWidth="1" style="165" min="24" max="24"/>
    <col width="13" customWidth="1" style="165" min="25" max="25"/>
    <col width="13" customWidth="1" style="165" min="26" max="26"/>
  </cols>
  <sheetData>
    <row r="1" ht="12.75" customHeight="1" s="165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5" t="n"/>
    </row>
    <row r="2" ht="15" customHeight="1" s="165">
      <c r="A2" s="200" t="inlineStr">
        <is>
          <t>Workflow</t>
        </is>
      </c>
      <c r="B2" s="201" t="inlineStr">
        <is>
          <t>Iteration 2 - Reset Password</t>
        </is>
      </c>
      <c r="C2" s="196" t="n"/>
      <c r="D2" s="196" t="n"/>
      <c r="E2" s="197" t="n"/>
      <c r="F2" s="202" t="n"/>
      <c r="G2" s="203" t="n"/>
      <c r="H2" s="204" t="n"/>
      <c r="I2" s="202" t="n"/>
      <c r="J2" s="203" t="n"/>
      <c r="K2" s="204" t="n"/>
      <c r="L2" s="202" t="n"/>
      <c r="M2" s="203" t="n"/>
      <c r="N2" s="204" t="n"/>
      <c r="O2" s="204" t="n"/>
      <c r="P2" s="204" t="n"/>
      <c r="Q2" s="205" t="n"/>
    </row>
    <row r="3" ht="12.75" customHeight="1" s="165">
      <c r="A3" s="206" t="inlineStr">
        <is>
          <t>Test requirement</t>
        </is>
      </c>
      <c r="B3" s="207" t="inlineStr">
        <is>
          <t>Verify identity token verification and new password configuration.</t>
        </is>
      </c>
      <c r="C3" s="167" t="n"/>
      <c r="D3" s="167" t="n"/>
      <c r="E3" s="199" t="n"/>
      <c r="F3" s="202" t="n"/>
      <c r="G3" s="203" t="n"/>
      <c r="H3" s="204" t="n"/>
      <c r="I3" s="202" t="n"/>
      <c r="J3" s="203" t="n"/>
      <c r="K3" s="204" t="n"/>
      <c r="L3" s="202" t="n"/>
      <c r="M3" s="203" t="n"/>
      <c r="N3" s="204" t="n"/>
      <c r="O3" s="204" t="n"/>
      <c r="P3" s="204" t="n"/>
      <c r="Q3" s="205" t="n"/>
    </row>
    <row r="4" ht="18" customHeight="1" s="165">
      <c r="A4" s="206" t="inlineStr">
        <is>
          <t>Number of TCs</t>
        </is>
      </c>
      <c r="B4" s="207" t="n">
        <v>4</v>
      </c>
      <c r="C4" s="167" t="n"/>
      <c r="D4" s="167" t="n"/>
      <c r="E4" s="199" t="n"/>
      <c r="F4" s="202" t="n"/>
      <c r="G4" s="203" t="n"/>
      <c r="H4" s="204" t="n"/>
      <c r="I4" s="202" t="n"/>
      <c r="J4" s="203" t="n"/>
      <c r="K4" s="204" t="n"/>
      <c r="L4" s="202" t="n"/>
      <c r="M4" s="203" t="n"/>
      <c r="N4" s="204" t="n"/>
      <c r="O4" s="204" t="n"/>
      <c r="P4" s="204" t="n"/>
      <c r="Q4" s="205" t="n"/>
    </row>
    <row r="5" ht="19.5" customHeight="1" s="165">
      <c r="A5" s="208" t="inlineStr">
        <is>
          <t>Testing Round</t>
        </is>
      </c>
      <c r="B5" s="209" t="inlineStr">
        <is>
          <t>Passed</t>
        </is>
      </c>
      <c r="C5" s="209" t="inlineStr">
        <is>
          <t>Failed</t>
        </is>
      </c>
      <c r="D5" s="209" t="inlineStr">
        <is>
          <t>Pending</t>
        </is>
      </c>
      <c r="E5" s="210" t="inlineStr">
        <is>
          <t>N/A</t>
        </is>
      </c>
      <c r="F5" s="211" t="n"/>
      <c r="G5" s="211" t="n"/>
      <c r="H5" s="194" t="n"/>
      <c r="I5" s="211" t="n"/>
      <c r="J5" s="211" t="n"/>
      <c r="K5" s="194" t="n"/>
      <c r="L5" s="211" t="n"/>
      <c r="M5" s="211" t="n"/>
      <c r="N5" s="194" t="n"/>
      <c r="O5" s="194" t="n"/>
      <c r="P5" s="194" t="n"/>
      <c r="Q5" s="212" t="n"/>
    </row>
    <row r="6" ht="15" customHeight="1" s="165">
      <c r="A6" s="208" t="inlineStr">
        <is>
          <t>Round 1</t>
        </is>
      </c>
      <c r="B6" s="213">
        <f>COUNTIF($F11:$F16,B5)</f>
        <v/>
      </c>
      <c r="C6" s="213">
        <f>COUNTIF($F11:$F16,C5)</f>
        <v/>
      </c>
      <c r="D6" s="213">
        <f>COUNTIF($F11:$F16,D5)</f>
        <v/>
      </c>
      <c r="E6" s="214">
        <f>COUNTIF($F11:$F16,E5)</f>
        <v/>
      </c>
      <c r="F6" s="215" t="n"/>
      <c r="G6" s="215" t="n"/>
      <c r="H6" s="194" t="n"/>
      <c r="I6" s="215" t="n"/>
      <c r="J6" s="215" t="n"/>
      <c r="K6" s="194" t="n"/>
      <c r="L6" s="215" t="n"/>
      <c r="M6" s="215" t="n"/>
      <c r="N6" s="194" t="n"/>
      <c r="O6" s="194" t="n"/>
      <c r="P6" s="194" t="n"/>
      <c r="Q6" s="212" t="n"/>
    </row>
    <row r="7" ht="15" customHeight="1" s="165">
      <c r="A7" s="208" t="inlineStr">
        <is>
          <t>Round 2</t>
        </is>
      </c>
      <c r="B7" s="213" t="n">
        <v>0</v>
      </c>
      <c r="C7" s="213">
        <f>COUNTIF($F11:$F16,C5)</f>
        <v/>
      </c>
      <c r="D7" s="213" t="n">
        <v>0</v>
      </c>
      <c r="E7" s="214">
        <f>B4-B7-C7-D7</f>
        <v/>
      </c>
      <c r="F7" s="215" t="n"/>
      <c r="G7" s="215" t="n"/>
      <c r="H7" s="194" t="n"/>
      <c r="I7" s="215" t="n"/>
      <c r="J7" s="215" t="n"/>
      <c r="K7" s="194" t="n"/>
      <c r="L7" s="215" t="n"/>
      <c r="M7" s="215" t="n"/>
      <c r="N7" s="194" t="n"/>
      <c r="O7" s="194" t="n"/>
      <c r="P7" s="194" t="n"/>
      <c r="Q7" s="212" t="n"/>
    </row>
    <row r="8" ht="15" customHeight="1" s="165">
      <c r="A8" s="216" t="inlineStr">
        <is>
          <t>Round 3</t>
        </is>
      </c>
      <c r="B8" s="217" t="n">
        <v>0</v>
      </c>
      <c r="C8" s="217">
        <f>COUNTIF($F11:$F16,C5)</f>
        <v/>
      </c>
      <c r="D8" s="217" t="n">
        <v>0</v>
      </c>
      <c r="E8" s="218">
        <f>B4-B8-C8-D8</f>
        <v/>
      </c>
      <c r="F8" s="215" t="n"/>
      <c r="G8" s="215" t="n"/>
      <c r="H8" s="194" t="n"/>
      <c r="I8" s="215" t="n"/>
      <c r="J8" s="215" t="n"/>
      <c r="K8" s="194" t="n"/>
      <c r="L8" s="215" t="n"/>
      <c r="M8" s="215" t="n"/>
      <c r="N8" s="194" t="n"/>
      <c r="O8" s="194" t="n"/>
      <c r="P8" s="194" t="n"/>
      <c r="Q8" s="212" t="n"/>
    </row>
    <row r="9" ht="15" customHeight="1" s="165">
      <c r="A9" s="194" t="n"/>
      <c r="B9" s="194" t="n"/>
      <c r="C9" s="194" t="n"/>
      <c r="D9" s="194" t="n"/>
      <c r="E9" s="194" t="n"/>
      <c r="F9" s="219" t="n"/>
      <c r="G9" s="194" t="n"/>
      <c r="H9" s="194" t="n"/>
      <c r="I9" s="219" t="n"/>
      <c r="J9" s="194" t="n"/>
      <c r="K9" s="194" t="n"/>
      <c r="L9" s="219" t="n"/>
      <c r="M9" s="194" t="n"/>
      <c r="N9" s="194" t="n"/>
      <c r="O9" s="194" t="n"/>
      <c r="P9" s="194" t="n"/>
      <c r="Q9" s="212" t="n"/>
    </row>
    <row r="10" ht="25.5" customHeight="1" s="165">
      <c r="A10" s="220" t="inlineStr">
        <is>
          <t>Test Case ID</t>
        </is>
      </c>
      <c r="B10" s="220" t="inlineStr">
        <is>
          <t>Test Case Description</t>
        </is>
      </c>
      <c r="C10" s="220" t="inlineStr">
        <is>
          <t>Test Case Procedure</t>
        </is>
      </c>
      <c r="D10" s="220" t="inlineStr">
        <is>
          <t>Expected Results</t>
        </is>
      </c>
      <c r="E10" s="220" t="inlineStr">
        <is>
          <t>Pre-conditions</t>
        </is>
      </c>
      <c r="F10" s="220" t="inlineStr">
        <is>
          <t>Round 1</t>
        </is>
      </c>
      <c r="G10" s="220" t="inlineStr">
        <is>
          <t>Test date</t>
        </is>
      </c>
      <c r="H10" s="220" t="inlineStr">
        <is>
          <t>Tester</t>
        </is>
      </c>
      <c r="I10" s="220" t="inlineStr">
        <is>
          <t>Round 2</t>
        </is>
      </c>
      <c r="J10" s="220" t="inlineStr">
        <is>
          <t>Test date</t>
        </is>
      </c>
      <c r="K10" s="220" t="inlineStr">
        <is>
          <t>Tester</t>
        </is>
      </c>
      <c r="L10" s="220" t="inlineStr">
        <is>
          <t>Round 3</t>
        </is>
      </c>
      <c r="M10" s="220" t="inlineStr">
        <is>
          <t>Test date</t>
        </is>
      </c>
      <c r="N10" s="220" t="inlineStr">
        <is>
          <t>Tester</t>
        </is>
      </c>
      <c r="O10" s="220" t="inlineStr">
        <is>
          <t>Note</t>
        </is>
      </c>
      <c r="P10" s="122" t="n"/>
      <c r="Q10" s="221" t="n"/>
    </row>
    <row r="11">
      <c r="A11" s="222" t="inlineStr">
        <is>
          <t>Scenario 1 - Successful Password Reset</t>
        </is>
      </c>
      <c r="B11" s="232" t="n"/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2" t="n"/>
      <c r="M11" s="232" t="n"/>
      <c r="N11" s="232" t="n"/>
      <c r="O11" s="233" t="n"/>
    </row>
    <row r="12">
      <c r="A12" s="223" t="inlineStr">
        <is>
          <t>TC01</t>
        </is>
      </c>
      <c r="B12" s="224" t="inlineStr">
        <is>
          <t>Verify resetting password with valid token and matching passwords.</t>
        </is>
      </c>
      <c r="C12" s="224" t="inlineStr">
        <is>
          <t>1. Click reset link in email containing valid token.
2. Enter new password matching confirmation (&gt;= 6 chars).
3. Click 'Reset'.</t>
        </is>
      </c>
      <c r="D12" s="224" t="inlineStr">
        <is>
          <t>System hashes password with BCrypt, updates DB, deletes token, and redirects to Login page with success message.</t>
        </is>
      </c>
      <c r="E12" s="224" t="inlineStr">
        <is>
          <t>User clicked valid reset link.</t>
        </is>
      </c>
      <c r="F12" s="223" t="inlineStr">
        <is>
          <t>Passed</t>
        </is>
      </c>
      <c r="G12" s="234" t="n">
        <v>46199</v>
      </c>
      <c r="H12" s="223" t="inlineStr">
        <is>
          <t>LUCTV</t>
        </is>
      </c>
      <c r="I12" s="223" t="inlineStr">
        <is>
          <t>N/A</t>
        </is>
      </c>
      <c r="J12" s="223" t="n"/>
      <c r="K12" s="223" t="n"/>
      <c r="L12" s="223" t="inlineStr">
        <is>
          <t>N/A</t>
        </is>
      </c>
      <c r="M12" s="223" t="n"/>
      <c r="N12" s="223" t="n"/>
      <c r="O12" s="223" t="inlineStr">
        <is>
          <t>Iteration 2.</t>
        </is>
      </c>
    </row>
    <row r="13">
      <c r="A13" s="222" t="inlineStr">
        <is>
          <t>Scenario 2 - Security and Constraint Validations</t>
        </is>
      </c>
      <c r="B13" s="232" t="n"/>
      <c r="C13" s="232" t="n"/>
      <c r="D13" s="232" t="n"/>
      <c r="E13" s="232" t="n"/>
      <c r="F13" s="232" t="n"/>
      <c r="G13" s="232" t="n"/>
      <c r="H13" s="232" t="n"/>
      <c r="I13" s="232" t="n"/>
      <c r="J13" s="232" t="n"/>
      <c r="K13" s="232" t="n"/>
      <c r="L13" s="232" t="n"/>
      <c r="M13" s="232" t="n"/>
      <c r="N13" s="232" t="n"/>
      <c r="O13" s="233" t="n"/>
    </row>
    <row r="14">
      <c r="A14" s="223" t="inlineStr">
        <is>
          <t>TC02</t>
        </is>
      </c>
      <c r="B14" s="224" t="inlineStr">
        <is>
          <t>Verify error when token is expired (exceeding 15 minutes).</t>
        </is>
      </c>
      <c r="C14" s="224" t="inlineStr">
        <is>
          <t>1. Click reset link with token created &gt; 15 mins ago.
2. Verify system message.</t>
        </is>
      </c>
      <c r="D14" s="224" t="inlineStr">
        <is>
          <t>System blocks action and displays error: 'Mã xác thực đã hết hạn! Vui lòng gửi lại yêu cầu quên mật khẩu.'.</t>
        </is>
      </c>
      <c r="E14" s="224" t="inlineStr">
        <is>
          <t>User has reset token older than 15 mins.</t>
        </is>
      </c>
      <c r="F14" s="223" t="inlineStr">
        <is>
          <t>Passed</t>
        </is>
      </c>
      <c r="G14" s="234" t="n">
        <v>46199</v>
      </c>
      <c r="H14" s="223" t="inlineStr">
        <is>
          <t>LUCTV</t>
        </is>
      </c>
      <c r="I14" s="223" t="inlineStr">
        <is>
          <t>N/A</t>
        </is>
      </c>
      <c r="J14" s="223" t="n"/>
      <c r="K14" s="223" t="n"/>
      <c r="L14" s="223" t="inlineStr">
        <is>
          <t>N/A</t>
        </is>
      </c>
      <c r="M14" s="223" t="n"/>
      <c r="N14" s="223" t="n"/>
      <c r="O14" s="223" t="inlineStr">
        <is>
          <t>Iteration 2.</t>
        </is>
      </c>
    </row>
    <row r="15">
      <c r="A15" s="223" t="inlineStr">
        <is>
          <t>TC03</t>
        </is>
      </c>
      <c r="B15" s="224" t="inlineStr">
        <is>
          <t>Verify validation when new password and confirmation do not match.</t>
        </is>
      </c>
      <c r="C15" s="224" t="inlineStr">
        <is>
          <t>1. Enter new password 'pwd123' and confirmation 'pwd321'.
2. Click 'Reset' button.</t>
        </is>
      </c>
      <c r="D15" s="224" t="inlineStr">
        <is>
          <t>System blocks action and displays error: 'Mật khẩu xác nhận không khớp!'.</t>
        </is>
      </c>
      <c r="E15" s="224" t="inlineStr">
        <is>
          <t>User is on Reset Password page.</t>
        </is>
      </c>
      <c r="F15" s="223" t="inlineStr">
        <is>
          <t>Passed</t>
        </is>
      </c>
      <c r="G15" s="234" t="n">
        <v>46199</v>
      </c>
      <c r="H15" s="223" t="inlineStr">
        <is>
          <t>LUCTV</t>
        </is>
      </c>
      <c r="I15" s="223" t="inlineStr">
        <is>
          <t>N/A</t>
        </is>
      </c>
      <c r="J15" s="223" t="n"/>
      <c r="K15" s="223" t="n"/>
      <c r="L15" s="223" t="inlineStr">
        <is>
          <t>N/A</t>
        </is>
      </c>
      <c r="M15" s="223" t="n"/>
      <c r="N15" s="223" t="n"/>
      <c r="O15" s="223" t="inlineStr">
        <is>
          <t>Iteration 2.</t>
        </is>
      </c>
    </row>
    <row r="16">
      <c r="A16" s="223" t="inlineStr">
        <is>
          <t>TC04</t>
        </is>
      </c>
      <c r="B16" s="224" t="inlineStr">
        <is>
          <t>Verify validation when new password is under 6 characters.</t>
        </is>
      </c>
      <c r="C16" s="224" t="inlineStr">
        <is>
          <t>1. Enter new password '123' and click 'Reset' button.</t>
        </is>
      </c>
      <c r="D16" s="224" t="inlineStr">
        <is>
          <t>System blocks action and displays error: 'Mật khẩu phải có độ dài tối thiểu là 6 ký tự!'.</t>
        </is>
      </c>
      <c r="E16" s="224" t="inlineStr">
        <is>
          <t>User is on Reset Password page.</t>
        </is>
      </c>
      <c r="F16" s="223" t="inlineStr">
        <is>
          <t>Passed</t>
        </is>
      </c>
      <c r="G16" s="234" t="n">
        <v>46199</v>
      </c>
      <c r="H16" s="223" t="inlineStr">
        <is>
          <t>LUCTV</t>
        </is>
      </c>
      <c r="I16" s="223" t="inlineStr">
        <is>
          <t>N/A</t>
        </is>
      </c>
      <c r="J16" s="223" t="n"/>
      <c r="K16" s="223" t="n"/>
      <c r="L16" s="223" t="inlineStr">
        <is>
          <t>N/A</t>
        </is>
      </c>
      <c r="M16" s="223" t="n"/>
      <c r="N16" s="223" t="n"/>
      <c r="O16" s="223" t="inlineStr">
        <is>
          <t>Iteration 2.</t>
        </is>
      </c>
    </row>
  </sheetData>
  <mergeCells count="5">
    <mergeCell ref="B4:E4"/>
    <mergeCell ref="A13:O13"/>
    <mergeCell ref="A11:O11"/>
    <mergeCell ref="B3:E3"/>
    <mergeCell ref="B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27.5" customWidth="1" style="165" min="1" max="1"/>
    <col width="41.13" customWidth="1" style="165" min="2" max="2"/>
    <col width="90.38" customWidth="1" style="165" min="3" max="3"/>
    <col width="83.38" customWidth="1" style="165" min="4" max="4"/>
    <col width="43.25" customWidth="1" style="165" min="5" max="5"/>
    <col width="10" customWidth="1" style="165" min="6" max="6"/>
    <col width="8.630000000000001" customWidth="1" style="165" min="7" max="7"/>
    <col width="14.25" customWidth="1" style="165" min="8" max="8"/>
    <col width="6.38" customWidth="1" style="165" min="9" max="9"/>
    <col width="4.75" customWidth="1" style="165" min="10" max="10"/>
    <col width="5.5" customWidth="1" style="165" min="11" max="11"/>
    <col width="6.38" customWidth="1" style="165" min="12" max="12"/>
    <col width="4.75" customWidth="1" style="165" min="13" max="13"/>
    <col width="5.5" customWidth="1" style="165" min="14" max="14"/>
    <col width="34.38" customWidth="1" style="165" min="15" max="15"/>
    <col width="10.13" customWidth="1" style="165" min="16" max="16"/>
    <col width="8.130000000000001" customWidth="1" style="165" min="17" max="17"/>
    <col width="6.5" customWidth="1" style="165" min="18" max="18"/>
    <col width="9" customWidth="1" style="165" min="19" max="19"/>
    <col width="13" customWidth="1" style="165" min="20" max="20"/>
    <col width="13" customWidth="1" style="165" min="21" max="21"/>
    <col width="13" customWidth="1" style="165" min="22" max="22"/>
    <col width="13" customWidth="1" style="165" min="23" max="23"/>
    <col width="13" customWidth="1" style="165" min="24" max="24"/>
    <col width="13" customWidth="1" style="165" min="25" max="25"/>
    <col width="13" customWidth="1" style="165" min="26" max="26"/>
  </cols>
  <sheetData>
    <row r="1" ht="12.75" customHeight="1" s="165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5" t="n"/>
    </row>
    <row r="2" ht="15" customHeight="1" s="165">
      <c r="A2" s="200" t="inlineStr">
        <is>
          <t>Workflow</t>
        </is>
      </c>
      <c r="B2" s="201" t="inlineStr">
        <is>
          <t>Iteration 2 - Change Password</t>
        </is>
      </c>
      <c r="C2" s="196" t="n"/>
      <c r="D2" s="196" t="n"/>
      <c r="E2" s="197" t="n"/>
      <c r="F2" s="202" t="n"/>
      <c r="G2" s="203" t="n"/>
      <c r="H2" s="204" t="n"/>
      <c r="I2" s="202" t="n"/>
      <c r="J2" s="203" t="n"/>
      <c r="K2" s="204" t="n"/>
      <c r="L2" s="202" t="n"/>
      <c r="M2" s="203" t="n"/>
      <c r="N2" s="204" t="n"/>
      <c r="O2" s="204" t="n"/>
      <c r="P2" s="204" t="n"/>
      <c r="Q2" s="205" t="n"/>
    </row>
    <row r="3" ht="12.75" customHeight="1" s="165">
      <c r="A3" s="206" t="inlineStr">
        <is>
          <t>Test requirement</t>
        </is>
      </c>
      <c r="B3" s="207" t="inlineStr">
        <is>
          <t>Verify change password rules inside personal profile area.</t>
        </is>
      </c>
      <c r="C3" s="167" t="n"/>
      <c r="D3" s="167" t="n"/>
      <c r="E3" s="199" t="n"/>
      <c r="F3" s="202" t="n"/>
      <c r="G3" s="203" t="n"/>
      <c r="H3" s="204" t="n"/>
      <c r="I3" s="202" t="n"/>
      <c r="J3" s="203" t="n"/>
      <c r="K3" s="204" t="n"/>
      <c r="L3" s="202" t="n"/>
      <c r="M3" s="203" t="n"/>
      <c r="N3" s="204" t="n"/>
      <c r="O3" s="204" t="n"/>
      <c r="P3" s="204" t="n"/>
      <c r="Q3" s="205" t="n"/>
    </row>
    <row r="4" ht="18" customHeight="1" s="165">
      <c r="A4" s="206" t="inlineStr">
        <is>
          <t>Number of TCs</t>
        </is>
      </c>
      <c r="B4" s="207" t="n">
        <v>4</v>
      </c>
      <c r="C4" s="167" t="n"/>
      <c r="D4" s="167" t="n"/>
      <c r="E4" s="199" t="n"/>
      <c r="F4" s="202" t="n"/>
      <c r="G4" s="203" t="n"/>
      <c r="H4" s="204" t="n"/>
      <c r="I4" s="202" t="n"/>
      <c r="J4" s="203" t="n"/>
      <c r="K4" s="204" t="n"/>
      <c r="L4" s="202" t="n"/>
      <c r="M4" s="203" t="n"/>
      <c r="N4" s="204" t="n"/>
      <c r="O4" s="204" t="n"/>
      <c r="P4" s="204" t="n"/>
      <c r="Q4" s="205" t="n"/>
    </row>
    <row r="5" ht="19.5" customHeight="1" s="165">
      <c r="A5" s="208" t="inlineStr">
        <is>
          <t>Testing Round</t>
        </is>
      </c>
      <c r="B5" s="209" t="inlineStr">
        <is>
          <t>Passed</t>
        </is>
      </c>
      <c r="C5" s="209" t="inlineStr">
        <is>
          <t>Failed</t>
        </is>
      </c>
      <c r="D5" s="209" t="inlineStr">
        <is>
          <t>Pending</t>
        </is>
      </c>
      <c r="E5" s="210" t="inlineStr">
        <is>
          <t>N/A</t>
        </is>
      </c>
      <c r="F5" s="211" t="n"/>
      <c r="G5" s="211" t="n"/>
      <c r="H5" s="194" t="n"/>
      <c r="I5" s="211" t="n"/>
      <c r="J5" s="211" t="n"/>
      <c r="K5" s="194" t="n"/>
      <c r="L5" s="211" t="n"/>
      <c r="M5" s="211" t="n"/>
      <c r="N5" s="194" t="n"/>
      <c r="O5" s="194" t="n"/>
      <c r="P5" s="194" t="n"/>
      <c r="Q5" s="212" t="n"/>
    </row>
    <row r="6" ht="15" customHeight="1" s="165">
      <c r="A6" s="208" t="inlineStr">
        <is>
          <t>Round 1</t>
        </is>
      </c>
      <c r="B6" s="213">
        <f>COUNTIF($F11:$F16,B5)</f>
        <v/>
      </c>
      <c r="C6" s="213">
        <f>COUNTIF($F11:$F16,C5)</f>
        <v/>
      </c>
      <c r="D6" s="213">
        <f>COUNTIF($F11:$F16,D5)</f>
        <v/>
      </c>
      <c r="E6" s="214">
        <f>COUNTIF($F11:$F16,E5)</f>
        <v/>
      </c>
      <c r="F6" s="215" t="n"/>
      <c r="G6" s="215" t="n"/>
      <c r="H6" s="194" t="n"/>
      <c r="I6" s="215" t="n"/>
      <c r="J6" s="215" t="n"/>
      <c r="K6" s="194" t="n"/>
      <c r="L6" s="215" t="n"/>
      <c r="M6" s="215" t="n"/>
      <c r="N6" s="194" t="n"/>
      <c r="O6" s="194" t="n"/>
      <c r="P6" s="194" t="n"/>
      <c r="Q6" s="212" t="n"/>
    </row>
    <row r="7" ht="15" customHeight="1" s="165">
      <c r="A7" s="208" t="inlineStr">
        <is>
          <t>Round 2</t>
        </is>
      </c>
      <c r="B7" s="213" t="n">
        <v>0</v>
      </c>
      <c r="C7" s="213">
        <f>COUNTIF($F11:$F16,C5)</f>
        <v/>
      </c>
      <c r="D7" s="213" t="n">
        <v>0</v>
      </c>
      <c r="E7" s="214">
        <f>B4-B7-C7-D7</f>
        <v/>
      </c>
      <c r="F7" s="215" t="n"/>
      <c r="G7" s="215" t="n"/>
      <c r="H7" s="194" t="n"/>
      <c r="I7" s="215" t="n"/>
      <c r="J7" s="215" t="n"/>
      <c r="K7" s="194" t="n"/>
      <c r="L7" s="215" t="n"/>
      <c r="M7" s="215" t="n"/>
      <c r="N7" s="194" t="n"/>
      <c r="O7" s="194" t="n"/>
      <c r="P7" s="194" t="n"/>
      <c r="Q7" s="212" t="n"/>
    </row>
    <row r="8" ht="15" customHeight="1" s="165">
      <c r="A8" s="216" t="inlineStr">
        <is>
          <t>Round 3</t>
        </is>
      </c>
      <c r="B8" s="217" t="n">
        <v>0</v>
      </c>
      <c r="C8" s="217">
        <f>COUNTIF($F11:$F16,C5)</f>
        <v/>
      </c>
      <c r="D8" s="217" t="n">
        <v>0</v>
      </c>
      <c r="E8" s="218">
        <f>B4-B8-C8-D8</f>
        <v/>
      </c>
      <c r="F8" s="215" t="n"/>
      <c r="G8" s="215" t="n"/>
      <c r="H8" s="194" t="n"/>
      <c r="I8" s="215" t="n"/>
      <c r="J8" s="215" t="n"/>
      <c r="K8" s="194" t="n"/>
      <c r="L8" s="215" t="n"/>
      <c r="M8" s="215" t="n"/>
      <c r="N8" s="194" t="n"/>
      <c r="O8" s="194" t="n"/>
      <c r="P8" s="194" t="n"/>
      <c r="Q8" s="212" t="n"/>
    </row>
    <row r="9" ht="15" customHeight="1" s="165">
      <c r="A9" s="194" t="n"/>
      <c r="B9" s="194" t="n"/>
      <c r="C9" s="194" t="n"/>
      <c r="D9" s="194" t="n"/>
      <c r="E9" s="194" t="n"/>
      <c r="F9" s="219" t="n"/>
      <c r="G9" s="194" t="n"/>
      <c r="H9" s="194" t="n"/>
      <c r="I9" s="219" t="n"/>
      <c r="J9" s="194" t="n"/>
      <c r="K9" s="194" t="n"/>
      <c r="L9" s="219" t="n"/>
      <c r="M9" s="194" t="n"/>
      <c r="N9" s="194" t="n"/>
      <c r="O9" s="194" t="n"/>
      <c r="P9" s="194" t="n"/>
      <c r="Q9" s="212" t="n"/>
    </row>
    <row r="10" ht="25.5" customHeight="1" s="165">
      <c r="A10" s="220" t="inlineStr">
        <is>
          <t>Test Case ID</t>
        </is>
      </c>
      <c r="B10" s="220" t="inlineStr">
        <is>
          <t>Test Case Description</t>
        </is>
      </c>
      <c r="C10" s="220" t="inlineStr">
        <is>
          <t>Test Case Procedure</t>
        </is>
      </c>
      <c r="D10" s="220" t="inlineStr">
        <is>
          <t>Expected Results</t>
        </is>
      </c>
      <c r="E10" s="220" t="inlineStr">
        <is>
          <t>Pre-conditions</t>
        </is>
      </c>
      <c r="F10" s="220" t="inlineStr">
        <is>
          <t>Round 1</t>
        </is>
      </c>
      <c r="G10" s="220" t="inlineStr">
        <is>
          <t>Test date</t>
        </is>
      </c>
      <c r="H10" s="220" t="inlineStr">
        <is>
          <t>Tester</t>
        </is>
      </c>
      <c r="I10" s="220" t="inlineStr">
        <is>
          <t>Round 2</t>
        </is>
      </c>
      <c r="J10" s="220" t="inlineStr">
        <is>
          <t>Test date</t>
        </is>
      </c>
      <c r="K10" s="220" t="inlineStr">
        <is>
          <t>Tester</t>
        </is>
      </c>
      <c r="L10" s="220" t="inlineStr">
        <is>
          <t>Round 3</t>
        </is>
      </c>
      <c r="M10" s="220" t="inlineStr">
        <is>
          <t>Test date</t>
        </is>
      </c>
      <c r="N10" s="220" t="inlineStr">
        <is>
          <t>Tester</t>
        </is>
      </c>
      <c r="O10" s="220" t="inlineStr">
        <is>
          <t>Note</t>
        </is>
      </c>
      <c r="P10" s="122" t="n"/>
      <c r="Q10" s="221" t="n"/>
    </row>
    <row r="11">
      <c r="A11" s="222" t="inlineStr">
        <is>
          <t>Scenario 1 - Successful Password Change</t>
        </is>
      </c>
      <c r="B11" s="232" t="n"/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2" t="n"/>
      <c r="M11" s="232" t="n"/>
      <c r="N11" s="232" t="n"/>
      <c r="O11" s="233" t="n"/>
    </row>
    <row r="12">
      <c r="A12" s="223" t="inlineStr">
        <is>
          <t>TC01</t>
        </is>
      </c>
      <c r="B12" s="224" t="inlineStr">
        <is>
          <t>Verify successful password change with valid current and new password.</t>
        </is>
      </c>
      <c r="C12" s="224" t="inlineStr">
        <is>
          <t>1. Go to Profile page, tab 'Đổi mật khẩu'.
2. Enter correct current password, valid new password (&gt;= 6 chars), and matching confirmation.
3. Click submit.</t>
        </is>
      </c>
      <c r="D12" s="224" t="inlineStr">
        <is>
          <t>System updates benched/hashed password in DB, synchronizes session, and shows alert: 'Đổi mật khẩu thành công!'.</t>
        </is>
      </c>
      <c r="E12" s="224" t="inlineStr">
        <is>
          <t>User is logged in.</t>
        </is>
      </c>
      <c r="F12" s="223" t="inlineStr">
        <is>
          <t>Passed</t>
        </is>
      </c>
      <c r="G12" s="234" t="n">
        <v>46199</v>
      </c>
      <c r="H12" s="223" t="inlineStr">
        <is>
          <t>LUCTV</t>
        </is>
      </c>
      <c r="I12" s="223" t="inlineStr">
        <is>
          <t>N/A</t>
        </is>
      </c>
      <c r="J12" s="223" t="n"/>
      <c r="K12" s="223" t="n"/>
      <c r="L12" s="223" t="inlineStr">
        <is>
          <t>N/A</t>
        </is>
      </c>
      <c r="M12" s="223" t="n"/>
      <c r="N12" s="223" t="n"/>
      <c r="O12" s="223" t="inlineStr">
        <is>
          <t>Iteration 2.</t>
        </is>
      </c>
    </row>
    <row r="13">
      <c r="A13" s="222" t="inlineStr">
        <is>
          <t>Scenario 2 - Exception Validations</t>
        </is>
      </c>
      <c r="B13" s="232" t="n"/>
      <c r="C13" s="232" t="n"/>
      <c r="D13" s="232" t="n"/>
      <c r="E13" s="232" t="n"/>
      <c r="F13" s="232" t="n"/>
      <c r="G13" s="232" t="n"/>
      <c r="H13" s="232" t="n"/>
      <c r="I13" s="232" t="n"/>
      <c r="J13" s="232" t="n"/>
      <c r="K13" s="232" t="n"/>
      <c r="L13" s="232" t="n"/>
      <c r="M13" s="232" t="n"/>
      <c r="N13" s="232" t="n"/>
      <c r="O13" s="233" t="n"/>
    </row>
    <row r="14">
      <c r="A14" s="223" t="inlineStr">
        <is>
          <t>TC02</t>
        </is>
      </c>
      <c r="B14" s="224" t="inlineStr">
        <is>
          <t>Verify error when current password is incorrect.</t>
        </is>
      </c>
      <c r="C14" s="224" t="inlineStr">
        <is>
          <t>1. Enter wrong current password, valid new password.
2. Click submit.</t>
        </is>
      </c>
      <c r="D14" s="224" t="inlineStr">
        <is>
          <t>System displays error message: 'Mật khẩu hiện tại không đúng!' and rejects update.</t>
        </is>
      </c>
      <c r="E14" s="224" t="inlineStr">
        <is>
          <t>User is logged in.</t>
        </is>
      </c>
      <c r="F14" s="223" t="inlineStr">
        <is>
          <t>Passed</t>
        </is>
      </c>
      <c r="G14" s="234" t="n">
        <v>46199</v>
      </c>
      <c r="H14" s="223" t="inlineStr">
        <is>
          <t>LUCTV</t>
        </is>
      </c>
      <c r="I14" s="223" t="inlineStr">
        <is>
          <t>N/A</t>
        </is>
      </c>
      <c r="J14" s="223" t="n"/>
      <c r="K14" s="223" t="n"/>
      <c r="L14" s="223" t="inlineStr">
        <is>
          <t>N/A</t>
        </is>
      </c>
      <c r="M14" s="223" t="n"/>
      <c r="N14" s="223" t="n"/>
      <c r="O14" s="223" t="inlineStr">
        <is>
          <t>Iteration 2.</t>
        </is>
      </c>
    </row>
    <row r="15">
      <c r="A15" s="223" t="inlineStr">
        <is>
          <t>TC03</t>
        </is>
      </c>
      <c r="B15" s="224" t="inlineStr">
        <is>
          <t>Verify error when new password matches the current password.</t>
        </is>
      </c>
      <c r="C15" s="224" t="inlineStr">
        <is>
          <t>1. Enter current password as the new password.
2. Click submit.</t>
        </is>
      </c>
      <c r="D15" s="224" t="inlineStr">
        <is>
          <t>System displays error: 'Mật khẩu mới không được trùng với mật khẩu hiện tại!'.</t>
        </is>
      </c>
      <c r="E15" s="224" t="inlineStr">
        <is>
          <t>User is logged in.</t>
        </is>
      </c>
      <c r="F15" s="223" t="inlineStr">
        <is>
          <t>Passed</t>
        </is>
      </c>
      <c r="G15" s="234" t="n">
        <v>46199</v>
      </c>
      <c r="H15" s="223" t="inlineStr">
        <is>
          <t>LUCTV</t>
        </is>
      </c>
      <c r="I15" s="223" t="inlineStr">
        <is>
          <t>N/A</t>
        </is>
      </c>
      <c r="J15" s="223" t="n"/>
      <c r="K15" s="223" t="n"/>
      <c r="L15" s="223" t="inlineStr">
        <is>
          <t>N/A</t>
        </is>
      </c>
      <c r="M15" s="223" t="n"/>
      <c r="N15" s="223" t="n"/>
      <c r="O15" s="223" t="inlineStr">
        <is>
          <t>Iteration 2.</t>
        </is>
      </c>
    </row>
    <row r="16">
      <c r="A16" s="223" t="inlineStr">
        <is>
          <t>TC04</t>
        </is>
      </c>
      <c r="B16" s="224" t="inlineStr">
        <is>
          <t>Verify error when confirmation does not match new password.</t>
        </is>
      </c>
      <c r="C16" s="224" t="inlineStr">
        <is>
          <t>1. Enter mismatched confirmation password.
2. Click submit.</t>
        </is>
      </c>
      <c r="D16" s="224" t="inlineStr">
        <is>
          <t>System displays error: 'Xác nhận mật khẩu không khớp!'.</t>
        </is>
      </c>
      <c r="E16" s="224" t="inlineStr">
        <is>
          <t>User is logged in.</t>
        </is>
      </c>
      <c r="F16" s="223" t="inlineStr">
        <is>
          <t>Passed</t>
        </is>
      </c>
      <c r="G16" s="234" t="n">
        <v>46199</v>
      </c>
      <c r="H16" s="223" t="inlineStr">
        <is>
          <t>LUCTV</t>
        </is>
      </c>
      <c r="I16" s="223" t="inlineStr">
        <is>
          <t>N/A</t>
        </is>
      </c>
      <c r="J16" s="223" t="n"/>
      <c r="K16" s="223" t="n"/>
      <c r="L16" s="223" t="inlineStr">
        <is>
          <t>N/A</t>
        </is>
      </c>
      <c r="M16" s="223" t="n"/>
      <c r="N16" s="223" t="n"/>
      <c r="O16" s="223" t="inlineStr">
        <is>
          <t>Iteration 2.</t>
        </is>
      </c>
    </row>
  </sheetData>
  <mergeCells count="5">
    <mergeCell ref="B4:E4"/>
    <mergeCell ref="A13:O13"/>
    <mergeCell ref="A11:O11"/>
    <mergeCell ref="B3:E3"/>
    <mergeCell ref="B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selection activeCell="A1" sqref="A1"/>
    </sheetView>
  </sheetViews>
  <sheetFormatPr baseColWidth="8" defaultRowHeight="15"/>
  <cols>
    <col width="27.5" customWidth="1" style="165" min="1" max="1"/>
    <col width="41.13" customWidth="1" style="165" min="2" max="2"/>
    <col width="90.38" customWidth="1" style="165" min="3" max="3"/>
    <col width="83.38" customWidth="1" style="165" min="4" max="4"/>
    <col width="43.25" customWidth="1" style="165" min="5" max="5"/>
    <col width="10" customWidth="1" style="165" min="6" max="6"/>
    <col width="8.630000000000001" customWidth="1" style="165" min="7" max="7"/>
    <col width="14.25" customWidth="1" style="165" min="8" max="8"/>
    <col width="6.38" customWidth="1" style="165" min="9" max="9"/>
    <col width="4.75" customWidth="1" style="165" min="10" max="10"/>
    <col width="5.5" customWidth="1" style="165" min="11" max="11"/>
    <col width="6.38" customWidth="1" style="165" min="12" max="12"/>
    <col width="4.75" customWidth="1" style="165" min="13" max="13"/>
    <col width="5.5" customWidth="1" style="165" min="14" max="14"/>
    <col width="34.38" customWidth="1" style="165" min="15" max="15"/>
    <col width="10.13" customWidth="1" style="165" min="16" max="16"/>
    <col width="8.130000000000001" customWidth="1" style="165" min="17" max="17"/>
    <col width="6.5" customWidth="1" style="165" min="18" max="18"/>
    <col width="9" customWidth="1" style="165" min="19" max="19"/>
    <col width="13" customWidth="1" style="165" min="20" max="20"/>
    <col width="13" customWidth="1" style="165" min="21" max="21"/>
    <col width="13" customWidth="1" style="165" min="22" max="22"/>
    <col width="13" customWidth="1" style="165" min="23" max="23"/>
    <col width="13" customWidth="1" style="165" min="24" max="24"/>
    <col width="13" customWidth="1" style="165" min="25" max="25"/>
    <col width="13" customWidth="1" style="165" min="26" max="26"/>
  </cols>
  <sheetData>
    <row r="1" ht="12.75" customHeight="1" s="165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5" t="n"/>
    </row>
    <row r="2" ht="15" customHeight="1" s="165">
      <c r="A2" s="200" t="inlineStr">
        <is>
          <t>Workflow</t>
        </is>
      </c>
      <c r="B2" s="201" t="inlineStr">
        <is>
          <t>Iteration 2 - Update Personal Profile</t>
        </is>
      </c>
      <c r="C2" s="196" t="n"/>
      <c r="D2" s="196" t="n"/>
      <c r="E2" s="197" t="n"/>
      <c r="F2" s="202" t="n"/>
      <c r="G2" s="203" t="n"/>
      <c r="H2" s="204" t="n"/>
      <c r="I2" s="202" t="n"/>
      <c r="J2" s="203" t="n"/>
      <c r="K2" s="204" t="n"/>
      <c r="L2" s="202" t="n"/>
      <c r="M2" s="203" t="n"/>
      <c r="N2" s="204" t="n"/>
      <c r="O2" s="204" t="n"/>
      <c r="P2" s="204" t="n"/>
      <c r="Q2" s="205" t="n"/>
    </row>
    <row r="3" ht="12.75" customHeight="1" s="165">
      <c r="A3" s="206" t="inlineStr">
        <is>
          <t>Test requirement</t>
        </is>
      </c>
      <c r="B3" s="207" t="inlineStr">
        <is>
          <t>Verify profile modifications including personal details and avatar upload.</t>
        </is>
      </c>
      <c r="C3" s="167" t="n"/>
      <c r="D3" s="167" t="n"/>
      <c r="E3" s="199" t="n"/>
      <c r="F3" s="202" t="n"/>
      <c r="G3" s="203" t="n"/>
      <c r="H3" s="204" t="n"/>
      <c r="I3" s="202" t="n"/>
      <c r="J3" s="203" t="n"/>
      <c r="K3" s="204" t="n"/>
      <c r="L3" s="202" t="n"/>
      <c r="M3" s="203" t="n"/>
      <c r="N3" s="204" t="n"/>
      <c r="O3" s="204" t="n"/>
      <c r="P3" s="204" t="n"/>
      <c r="Q3" s="205" t="n"/>
    </row>
    <row r="4" ht="18" customHeight="1" s="165">
      <c r="A4" s="206" t="inlineStr">
        <is>
          <t>Number of TCs</t>
        </is>
      </c>
      <c r="B4" s="207" t="n">
        <v>3</v>
      </c>
      <c r="C4" s="167" t="n"/>
      <c r="D4" s="167" t="n"/>
      <c r="E4" s="199" t="n"/>
      <c r="F4" s="202" t="n"/>
      <c r="G4" s="203" t="n"/>
      <c r="H4" s="204" t="n"/>
      <c r="I4" s="202" t="n"/>
      <c r="J4" s="203" t="n"/>
      <c r="K4" s="204" t="n"/>
      <c r="L4" s="202" t="n"/>
      <c r="M4" s="203" t="n"/>
      <c r="N4" s="204" t="n"/>
      <c r="O4" s="204" t="n"/>
      <c r="P4" s="204" t="n"/>
      <c r="Q4" s="205" t="n"/>
    </row>
    <row r="5" ht="19.5" customHeight="1" s="165">
      <c r="A5" s="208" t="inlineStr">
        <is>
          <t>Testing Round</t>
        </is>
      </c>
      <c r="B5" s="209" t="inlineStr">
        <is>
          <t>Passed</t>
        </is>
      </c>
      <c r="C5" s="209" t="inlineStr">
        <is>
          <t>Failed</t>
        </is>
      </c>
      <c r="D5" s="209" t="inlineStr">
        <is>
          <t>Pending</t>
        </is>
      </c>
      <c r="E5" s="210" t="inlineStr">
        <is>
          <t>N/A</t>
        </is>
      </c>
      <c r="F5" s="211" t="n"/>
      <c r="G5" s="211" t="n"/>
      <c r="H5" s="194" t="n"/>
      <c r="I5" s="211" t="n"/>
      <c r="J5" s="211" t="n"/>
      <c r="K5" s="194" t="n"/>
      <c r="L5" s="211" t="n"/>
      <c r="M5" s="211" t="n"/>
      <c r="N5" s="194" t="n"/>
      <c r="O5" s="194" t="n"/>
      <c r="P5" s="194" t="n"/>
      <c r="Q5" s="212" t="n"/>
    </row>
    <row r="6" ht="15" customHeight="1" s="165">
      <c r="A6" s="208" t="inlineStr">
        <is>
          <t>Round 1</t>
        </is>
      </c>
      <c r="B6" s="213">
        <f>COUNTIF($F11:$F15,B5)</f>
        <v/>
      </c>
      <c r="C6" s="213">
        <f>COUNTIF($F11:$F15,C5)</f>
        <v/>
      </c>
      <c r="D6" s="213">
        <f>COUNTIF($F11:$F15,D5)</f>
        <v/>
      </c>
      <c r="E6" s="214">
        <f>COUNTIF($F11:$F15,E5)</f>
        <v/>
      </c>
      <c r="F6" s="215" t="n"/>
      <c r="G6" s="215" t="n"/>
      <c r="H6" s="194" t="n"/>
      <c r="I6" s="215" t="n"/>
      <c r="J6" s="215" t="n"/>
      <c r="K6" s="194" t="n"/>
      <c r="L6" s="215" t="n"/>
      <c r="M6" s="215" t="n"/>
      <c r="N6" s="194" t="n"/>
      <c r="O6" s="194" t="n"/>
      <c r="P6" s="194" t="n"/>
      <c r="Q6" s="212" t="n"/>
    </row>
    <row r="7" ht="15" customHeight="1" s="165">
      <c r="A7" s="208" t="inlineStr">
        <is>
          <t>Round 2</t>
        </is>
      </c>
      <c r="B7" s="213" t="n">
        <v>0</v>
      </c>
      <c r="C7" s="213">
        <f>COUNTIF($F11:$F15,C5)</f>
        <v/>
      </c>
      <c r="D7" s="213" t="n">
        <v>0</v>
      </c>
      <c r="E7" s="214">
        <f>B4-B7-C7-D7</f>
        <v/>
      </c>
      <c r="F7" s="215" t="n"/>
      <c r="G7" s="215" t="n"/>
      <c r="H7" s="194" t="n"/>
      <c r="I7" s="215" t="n"/>
      <c r="J7" s="215" t="n"/>
      <c r="K7" s="194" t="n"/>
      <c r="L7" s="215" t="n"/>
      <c r="M7" s="215" t="n"/>
      <c r="N7" s="194" t="n"/>
      <c r="O7" s="194" t="n"/>
      <c r="P7" s="194" t="n"/>
      <c r="Q7" s="212" t="n"/>
    </row>
    <row r="8" ht="15" customHeight="1" s="165">
      <c r="A8" s="216" t="inlineStr">
        <is>
          <t>Round 3</t>
        </is>
      </c>
      <c r="B8" s="217" t="n">
        <v>0</v>
      </c>
      <c r="C8" s="217">
        <f>COUNTIF($F11:$F15,C5)</f>
        <v/>
      </c>
      <c r="D8" s="217" t="n">
        <v>0</v>
      </c>
      <c r="E8" s="218">
        <f>B4-B8-C8-D8</f>
        <v/>
      </c>
      <c r="F8" s="215" t="n"/>
      <c r="G8" s="215" t="n"/>
      <c r="H8" s="194" t="n"/>
      <c r="I8" s="215" t="n"/>
      <c r="J8" s="215" t="n"/>
      <c r="K8" s="194" t="n"/>
      <c r="L8" s="215" t="n"/>
      <c r="M8" s="215" t="n"/>
      <c r="N8" s="194" t="n"/>
      <c r="O8" s="194" t="n"/>
      <c r="P8" s="194" t="n"/>
      <c r="Q8" s="212" t="n"/>
    </row>
    <row r="9" ht="15" customHeight="1" s="165">
      <c r="A9" s="194" t="n"/>
      <c r="B9" s="194" t="n"/>
      <c r="C9" s="194" t="n"/>
      <c r="D9" s="194" t="n"/>
      <c r="E9" s="194" t="n"/>
      <c r="F9" s="219" t="n"/>
      <c r="G9" s="194" t="n"/>
      <c r="H9" s="194" t="n"/>
      <c r="I9" s="219" t="n"/>
      <c r="J9" s="194" t="n"/>
      <c r="K9" s="194" t="n"/>
      <c r="L9" s="219" t="n"/>
      <c r="M9" s="194" t="n"/>
      <c r="N9" s="194" t="n"/>
      <c r="O9" s="194" t="n"/>
      <c r="P9" s="194" t="n"/>
      <c r="Q9" s="212" t="n"/>
    </row>
    <row r="10" ht="25.5" customHeight="1" s="165">
      <c r="A10" s="220" t="inlineStr">
        <is>
          <t>Test Case ID</t>
        </is>
      </c>
      <c r="B10" s="220" t="inlineStr">
        <is>
          <t>Test Case Description</t>
        </is>
      </c>
      <c r="C10" s="220" t="inlineStr">
        <is>
          <t>Test Case Procedure</t>
        </is>
      </c>
      <c r="D10" s="220" t="inlineStr">
        <is>
          <t>Expected Results</t>
        </is>
      </c>
      <c r="E10" s="220" t="inlineStr">
        <is>
          <t>Pre-conditions</t>
        </is>
      </c>
      <c r="F10" s="220" t="inlineStr">
        <is>
          <t>Round 1</t>
        </is>
      </c>
      <c r="G10" s="220" t="inlineStr">
        <is>
          <t>Test date</t>
        </is>
      </c>
      <c r="H10" s="220" t="inlineStr">
        <is>
          <t>Tester</t>
        </is>
      </c>
      <c r="I10" s="220" t="inlineStr">
        <is>
          <t>Round 2</t>
        </is>
      </c>
      <c r="J10" s="220" t="inlineStr">
        <is>
          <t>Test date</t>
        </is>
      </c>
      <c r="K10" s="220" t="inlineStr">
        <is>
          <t>Tester</t>
        </is>
      </c>
      <c r="L10" s="220" t="inlineStr">
        <is>
          <t>Round 3</t>
        </is>
      </c>
      <c r="M10" s="220" t="inlineStr">
        <is>
          <t>Test date</t>
        </is>
      </c>
      <c r="N10" s="220" t="inlineStr">
        <is>
          <t>Tester</t>
        </is>
      </c>
      <c r="O10" s="220" t="inlineStr">
        <is>
          <t>Note</t>
        </is>
      </c>
      <c r="P10" s="122" t="n"/>
      <c r="Q10" s="221" t="n"/>
    </row>
    <row r="11">
      <c r="A11" s="222" t="inlineStr">
        <is>
          <t>Scenario 1 - Successful Profile Updates</t>
        </is>
      </c>
      <c r="B11" s="232" t="n"/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2" t="n"/>
      <c r="M11" s="232" t="n"/>
      <c r="N11" s="232" t="n"/>
      <c r="O11" s="233" t="n"/>
    </row>
    <row r="12">
      <c r="A12" s="223" t="inlineStr">
        <is>
          <t>TC01</t>
        </is>
      </c>
      <c r="B12" s="224" t="inlineStr">
        <is>
          <t>Verify successful update of Full Name and Phone Number.</t>
        </is>
      </c>
      <c r="C12" s="224" t="inlineStr">
        <is>
          <t>1. Navigate to Profile page.
2. Edit Full Name and Phone to valid values.
3. Click 'Cập nhật thông tin'.</t>
        </is>
      </c>
      <c r="D12" s="224" t="inlineStr">
        <is>
          <t>System updates DB, synchronizes session data, and shows alert: 'Cập nhật thông tin cá nhân thành công!'.</t>
        </is>
      </c>
      <c r="E12" s="224" t="inlineStr">
        <is>
          <t>User is logged in.</t>
        </is>
      </c>
      <c r="F12" s="223" t="inlineStr">
        <is>
          <t>Passed</t>
        </is>
      </c>
      <c r="G12" s="234" t="n">
        <v>46199</v>
      </c>
      <c r="H12" s="223" t="inlineStr">
        <is>
          <t>LUCTV</t>
        </is>
      </c>
      <c r="I12" s="223" t="inlineStr">
        <is>
          <t>N/A</t>
        </is>
      </c>
      <c r="J12" s="223" t="n"/>
      <c r="K12" s="223" t="n"/>
      <c r="L12" s="223" t="inlineStr">
        <is>
          <t>N/A</t>
        </is>
      </c>
      <c r="M12" s="223" t="n"/>
      <c r="N12" s="223" t="n"/>
      <c r="O12" s="223" t="inlineStr">
        <is>
          <t>Iteration 2.</t>
        </is>
      </c>
    </row>
    <row r="13">
      <c r="A13" s="223" t="inlineStr">
        <is>
          <t>TC02</t>
        </is>
      </c>
      <c r="B13" s="224" t="inlineStr">
        <is>
          <t>Verify successful avatar image upload under 10MB.</t>
        </is>
      </c>
      <c r="C13" s="224" t="inlineStr">
        <is>
          <t>1. Select a valid image file (e.g. png, jpg) under 10MB.
2. Click 'Cập nhật thông tin'.</t>
        </is>
      </c>
      <c r="D13" s="224" t="inlineStr">
        <is>
          <t>System uploads file, renames to random UUID, stores path to DB, and displays new avatar in header/profile.</t>
        </is>
      </c>
      <c r="E13" s="224" t="inlineStr">
        <is>
          <t>User is logged in.</t>
        </is>
      </c>
      <c r="F13" s="223" t="inlineStr">
        <is>
          <t>Passed</t>
        </is>
      </c>
      <c r="G13" s="234" t="n">
        <v>46199</v>
      </c>
      <c r="H13" s="223" t="inlineStr">
        <is>
          <t>LUCTV</t>
        </is>
      </c>
      <c r="I13" s="223" t="inlineStr">
        <is>
          <t>N/A</t>
        </is>
      </c>
      <c r="J13" s="223" t="n"/>
      <c r="K13" s="223" t="n"/>
      <c r="L13" s="223" t="inlineStr">
        <is>
          <t>N/A</t>
        </is>
      </c>
      <c r="M13" s="223" t="n"/>
      <c r="N13" s="223" t="n"/>
      <c r="O13" s="223" t="inlineStr">
        <is>
          <t>Iteration 2.</t>
        </is>
      </c>
    </row>
    <row r="14">
      <c r="A14" s="222" t="inlineStr">
        <is>
          <t>Scenario 2 - Upload and Validation Safeguards</t>
        </is>
      </c>
      <c r="B14" s="232" t="n"/>
      <c r="C14" s="232" t="n"/>
      <c r="D14" s="232" t="n"/>
      <c r="E14" s="232" t="n"/>
      <c r="F14" s="232" t="n"/>
      <c r="G14" s="232" t="n"/>
      <c r="H14" s="232" t="n"/>
      <c r="I14" s="232" t="n"/>
      <c r="J14" s="232" t="n"/>
      <c r="K14" s="232" t="n"/>
      <c r="L14" s="232" t="n"/>
      <c r="M14" s="232" t="n"/>
      <c r="N14" s="232" t="n"/>
      <c r="O14" s="233" t="n"/>
    </row>
    <row r="15">
      <c r="A15" s="223" t="inlineStr">
        <is>
          <t>TC03</t>
        </is>
      </c>
      <c r="B15" s="224" t="inlineStr">
        <is>
          <t>Verify system blocks non-image file uploads.</t>
        </is>
      </c>
      <c r="C15" s="224" t="inlineStr">
        <is>
          <t>1. Select a file with invalid extension (e.g., docx, zip).
2. Click 'Cập nhật thông tin'.</t>
        </is>
      </c>
      <c r="D15" s="224" t="inlineStr">
        <is>
          <t>System blocks upload and displays error: 'Định dạng file không hợp lệ! Vui lòng tải lên file ảnh.'.</t>
        </is>
      </c>
      <c r="E15" s="224" t="inlineStr">
        <is>
          <t>User is logged in.</t>
        </is>
      </c>
      <c r="F15" s="223" t="inlineStr">
        <is>
          <t>Passed</t>
        </is>
      </c>
      <c r="G15" s="234" t="n">
        <v>46199</v>
      </c>
      <c r="H15" s="223" t="inlineStr">
        <is>
          <t>LUCTV</t>
        </is>
      </c>
      <c r="I15" s="223" t="inlineStr">
        <is>
          <t>N/A</t>
        </is>
      </c>
      <c r="J15" s="223" t="n"/>
      <c r="K15" s="223" t="n"/>
      <c r="L15" s="223" t="inlineStr">
        <is>
          <t>N/A</t>
        </is>
      </c>
      <c r="M15" s="223" t="n"/>
      <c r="N15" s="223" t="n"/>
      <c r="O15" s="223" t="inlineStr">
        <is>
          <t>Iteration 2.</t>
        </is>
      </c>
    </row>
  </sheetData>
  <mergeCells count="5">
    <mergeCell ref="B4:E4"/>
    <mergeCell ref="A11:O11"/>
    <mergeCell ref="A14:O14"/>
    <mergeCell ref="B3:E3"/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27.5" customWidth="1" style="165" min="1" max="1"/>
    <col width="41.13" customWidth="1" style="165" min="2" max="2"/>
    <col width="90.38" customWidth="1" style="165" min="3" max="3"/>
    <col width="83.38" customWidth="1" style="165" min="4" max="4"/>
    <col width="43.25" customWidth="1" style="165" min="5" max="5"/>
    <col width="10" customWidth="1" style="165" min="6" max="6"/>
    <col width="8.630000000000001" customWidth="1" style="165" min="7" max="7"/>
    <col width="14.25" customWidth="1" style="165" min="8" max="8"/>
    <col width="6.38" customWidth="1" style="165" min="9" max="9"/>
    <col width="4.75" customWidth="1" style="165" min="10" max="10"/>
    <col width="5.5" customWidth="1" style="165" min="11" max="11"/>
    <col width="6.38" customWidth="1" style="165" min="12" max="12"/>
    <col width="4.75" customWidth="1" style="165" min="13" max="13"/>
    <col width="5.5" customWidth="1" style="165" min="14" max="14"/>
    <col width="34.38" customWidth="1" style="165" min="15" max="15"/>
    <col width="10.13" customWidth="1" style="165" min="16" max="16"/>
    <col width="8.130000000000001" customWidth="1" style="165" min="17" max="17"/>
    <col width="6.5" customWidth="1" style="165" min="18" max="18"/>
    <col width="9" customWidth="1" style="165" min="19" max="19"/>
    <col width="13" customWidth="1" style="165" min="20" max="20"/>
    <col width="13" customWidth="1" style="165" min="21" max="21"/>
    <col width="13" customWidth="1" style="165" min="22" max="22"/>
    <col width="13" customWidth="1" style="165" min="23" max="23"/>
    <col width="13" customWidth="1" style="165" min="24" max="24"/>
    <col width="13" customWidth="1" style="165" min="25" max="25"/>
    <col width="13" customWidth="1" style="165" min="26" max="26"/>
  </cols>
  <sheetData>
    <row r="1" ht="12.75" customHeight="1" s="165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5" t="n"/>
    </row>
    <row r="2" ht="15" customHeight="1" s="165">
      <c r="A2" s="200" t="inlineStr">
        <is>
          <t>Workflow</t>
        </is>
      </c>
      <c r="B2" s="201" t="inlineStr">
        <is>
          <t>Iteration 2 - View Personal Profile</t>
        </is>
      </c>
      <c r="C2" s="196" t="n"/>
      <c r="D2" s="196" t="n"/>
      <c r="E2" s="197" t="n"/>
      <c r="F2" s="202" t="n"/>
      <c r="G2" s="203" t="n"/>
      <c r="H2" s="204" t="n"/>
      <c r="I2" s="202" t="n"/>
      <c r="J2" s="203" t="n"/>
      <c r="K2" s="204" t="n"/>
      <c r="L2" s="202" t="n"/>
      <c r="M2" s="203" t="n"/>
      <c r="N2" s="204" t="n"/>
      <c r="O2" s="204" t="n"/>
      <c r="P2" s="204" t="n"/>
      <c r="Q2" s="205" t="n"/>
    </row>
    <row r="3" ht="12.75" customHeight="1" s="165">
      <c r="A3" s="206" t="inlineStr">
        <is>
          <t>Test requirement</t>
        </is>
      </c>
      <c r="B3" s="207" t="inlineStr">
        <is>
          <t>Verify profile page display and access controls.</t>
        </is>
      </c>
      <c r="C3" s="167" t="n"/>
      <c r="D3" s="167" t="n"/>
      <c r="E3" s="199" t="n"/>
      <c r="F3" s="202" t="n"/>
      <c r="G3" s="203" t="n"/>
      <c r="H3" s="204" t="n"/>
      <c r="I3" s="202" t="n"/>
      <c r="J3" s="203" t="n"/>
      <c r="K3" s="204" t="n"/>
      <c r="L3" s="202" t="n"/>
      <c r="M3" s="203" t="n"/>
      <c r="N3" s="204" t="n"/>
      <c r="O3" s="204" t="n"/>
      <c r="P3" s="204" t="n"/>
      <c r="Q3" s="205" t="n"/>
    </row>
    <row r="4" ht="18" customHeight="1" s="165">
      <c r="A4" s="206" t="inlineStr">
        <is>
          <t>Number of TCs</t>
        </is>
      </c>
      <c r="B4" s="207" t="n">
        <v>2</v>
      </c>
      <c r="C4" s="167" t="n"/>
      <c r="D4" s="167" t="n"/>
      <c r="E4" s="199" t="n"/>
      <c r="F4" s="202" t="n"/>
      <c r="G4" s="203" t="n"/>
      <c r="H4" s="204" t="n"/>
      <c r="I4" s="202" t="n"/>
      <c r="J4" s="203" t="n"/>
      <c r="K4" s="204" t="n"/>
      <c r="L4" s="202" t="n"/>
      <c r="M4" s="203" t="n"/>
      <c r="N4" s="204" t="n"/>
      <c r="O4" s="204" t="n"/>
      <c r="P4" s="204" t="n"/>
      <c r="Q4" s="205" t="n"/>
    </row>
    <row r="5" ht="19.5" customHeight="1" s="165">
      <c r="A5" s="208" t="inlineStr">
        <is>
          <t>Testing Round</t>
        </is>
      </c>
      <c r="B5" s="209" t="inlineStr">
        <is>
          <t>Passed</t>
        </is>
      </c>
      <c r="C5" s="209" t="inlineStr">
        <is>
          <t>Failed</t>
        </is>
      </c>
      <c r="D5" s="209" t="inlineStr">
        <is>
          <t>Pending</t>
        </is>
      </c>
      <c r="E5" s="210" t="inlineStr">
        <is>
          <t>N/A</t>
        </is>
      </c>
      <c r="F5" s="211" t="n"/>
      <c r="G5" s="211" t="n"/>
      <c r="H5" s="194" t="n"/>
      <c r="I5" s="211" t="n"/>
      <c r="J5" s="211" t="n"/>
      <c r="K5" s="194" t="n"/>
      <c r="L5" s="211" t="n"/>
      <c r="M5" s="211" t="n"/>
      <c r="N5" s="194" t="n"/>
      <c r="O5" s="194" t="n"/>
      <c r="P5" s="194" t="n"/>
      <c r="Q5" s="212" t="n"/>
    </row>
    <row r="6" ht="15" customHeight="1" s="165">
      <c r="A6" s="208" t="inlineStr">
        <is>
          <t>Round 1</t>
        </is>
      </c>
      <c r="B6" s="213">
        <f>COUNTIF($F11:$F14,B5)</f>
        <v/>
      </c>
      <c r="C6" s="213">
        <f>COUNTIF($F11:$F14,C5)</f>
        <v/>
      </c>
      <c r="D6" s="213">
        <f>COUNTIF($F11:$F14,D5)</f>
        <v/>
      </c>
      <c r="E6" s="214">
        <f>COUNTIF($F11:$F14,E5)</f>
        <v/>
      </c>
      <c r="F6" s="215" t="n"/>
      <c r="G6" s="215" t="n"/>
      <c r="H6" s="194" t="n"/>
      <c r="I6" s="215" t="n"/>
      <c r="J6" s="215" t="n"/>
      <c r="K6" s="194" t="n"/>
      <c r="L6" s="215" t="n"/>
      <c r="M6" s="215" t="n"/>
      <c r="N6" s="194" t="n"/>
      <c r="O6" s="194" t="n"/>
      <c r="P6" s="194" t="n"/>
      <c r="Q6" s="212" t="n"/>
    </row>
    <row r="7" ht="15" customHeight="1" s="165">
      <c r="A7" s="208" t="inlineStr">
        <is>
          <t>Round 2</t>
        </is>
      </c>
      <c r="B7" s="213" t="n">
        <v>0</v>
      </c>
      <c r="C7" s="213">
        <f>COUNTIF($F11:$F14,C5)</f>
        <v/>
      </c>
      <c r="D7" s="213" t="n">
        <v>0</v>
      </c>
      <c r="E7" s="214">
        <f>B4-B7-C7-D7</f>
        <v/>
      </c>
      <c r="F7" s="215" t="n"/>
      <c r="G7" s="215" t="n"/>
      <c r="H7" s="194" t="n"/>
      <c r="I7" s="215" t="n"/>
      <c r="J7" s="215" t="n"/>
      <c r="K7" s="194" t="n"/>
      <c r="L7" s="215" t="n"/>
      <c r="M7" s="215" t="n"/>
      <c r="N7" s="194" t="n"/>
      <c r="O7" s="194" t="n"/>
      <c r="P7" s="194" t="n"/>
      <c r="Q7" s="212" t="n"/>
    </row>
    <row r="8" ht="15" customHeight="1" s="165">
      <c r="A8" s="216" t="inlineStr">
        <is>
          <t>Round 3</t>
        </is>
      </c>
      <c r="B8" s="217" t="n">
        <v>0</v>
      </c>
      <c r="C8" s="217">
        <f>COUNTIF($F11:$F14,C5)</f>
        <v/>
      </c>
      <c r="D8" s="217" t="n">
        <v>0</v>
      </c>
      <c r="E8" s="218">
        <f>B4-B8-C8-D8</f>
        <v/>
      </c>
      <c r="F8" s="215" t="n"/>
      <c r="G8" s="215" t="n"/>
      <c r="H8" s="194" t="n"/>
      <c r="I8" s="215" t="n"/>
      <c r="J8" s="215" t="n"/>
      <c r="K8" s="194" t="n"/>
      <c r="L8" s="215" t="n"/>
      <c r="M8" s="215" t="n"/>
      <c r="N8" s="194" t="n"/>
      <c r="O8" s="194" t="n"/>
      <c r="P8" s="194" t="n"/>
      <c r="Q8" s="212" t="n"/>
    </row>
    <row r="9" ht="15" customHeight="1" s="165">
      <c r="A9" s="194" t="n"/>
      <c r="B9" s="194" t="n"/>
      <c r="C9" s="194" t="n"/>
      <c r="D9" s="194" t="n"/>
      <c r="E9" s="194" t="n"/>
      <c r="F9" s="219" t="n"/>
      <c r="G9" s="194" t="n"/>
      <c r="H9" s="194" t="n"/>
      <c r="I9" s="219" t="n"/>
      <c r="J9" s="194" t="n"/>
      <c r="K9" s="194" t="n"/>
      <c r="L9" s="219" t="n"/>
      <c r="M9" s="194" t="n"/>
      <c r="N9" s="194" t="n"/>
      <c r="O9" s="194" t="n"/>
      <c r="P9" s="194" t="n"/>
      <c r="Q9" s="212" t="n"/>
    </row>
    <row r="10" ht="25.5" customHeight="1" s="165">
      <c r="A10" s="220" t="inlineStr">
        <is>
          <t>Test Case ID</t>
        </is>
      </c>
      <c r="B10" s="220" t="inlineStr">
        <is>
          <t>Test Case Description</t>
        </is>
      </c>
      <c r="C10" s="220" t="inlineStr">
        <is>
          <t>Test Case Procedure</t>
        </is>
      </c>
      <c r="D10" s="220" t="inlineStr">
        <is>
          <t>Expected Results</t>
        </is>
      </c>
      <c r="E10" s="220" t="inlineStr">
        <is>
          <t>Pre-conditions</t>
        </is>
      </c>
      <c r="F10" s="220" t="inlineStr">
        <is>
          <t>Round 1</t>
        </is>
      </c>
      <c r="G10" s="220" t="inlineStr">
        <is>
          <t>Test date</t>
        </is>
      </c>
      <c r="H10" s="220" t="inlineStr">
        <is>
          <t>Tester</t>
        </is>
      </c>
      <c r="I10" s="220" t="inlineStr">
        <is>
          <t>Round 2</t>
        </is>
      </c>
      <c r="J10" s="220" t="inlineStr">
        <is>
          <t>Test date</t>
        </is>
      </c>
      <c r="K10" s="220" t="inlineStr">
        <is>
          <t>Tester</t>
        </is>
      </c>
      <c r="L10" s="220" t="inlineStr">
        <is>
          <t>Round 3</t>
        </is>
      </c>
      <c r="M10" s="220" t="inlineStr">
        <is>
          <t>Test date</t>
        </is>
      </c>
      <c r="N10" s="220" t="inlineStr">
        <is>
          <t>Tester</t>
        </is>
      </c>
      <c r="O10" s="220" t="inlineStr">
        <is>
          <t>Note</t>
        </is>
      </c>
      <c r="P10" s="122" t="n"/>
      <c r="Q10" s="221" t="n"/>
    </row>
    <row r="11">
      <c r="A11" s="222" t="inlineStr">
        <is>
          <t>Scenario 1 - Profile Details Rendering</t>
        </is>
      </c>
      <c r="B11" s="232" t="n"/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2" t="n"/>
      <c r="M11" s="232" t="n"/>
      <c r="N11" s="232" t="n"/>
      <c r="O11" s="233" t="n"/>
    </row>
    <row r="12">
      <c r="A12" s="223" t="inlineStr">
        <is>
          <t>TC01</t>
        </is>
      </c>
      <c r="B12" s="224" t="inlineStr">
        <is>
          <t>Verify profile page displays fresh user details from DB.</t>
        </is>
      </c>
      <c r="C12" s="224" t="inlineStr">
        <is>
          <t>1. Access '/profile' page.
2. Verify shown details.</t>
        </is>
      </c>
      <c r="D12" s="224" t="inlineStr">
        <is>
          <t>System queries DB for fresh user record, displays correct Full Name, Email, Phone, Role, and Avatar. Back button corresponds to role.</t>
        </is>
      </c>
      <c r="E12" s="224" t="inlineStr">
        <is>
          <t>User is logged in.</t>
        </is>
      </c>
      <c r="F12" s="223" t="inlineStr">
        <is>
          <t>Passed</t>
        </is>
      </c>
      <c r="G12" s="234" t="n">
        <v>46199</v>
      </c>
      <c r="H12" s="223" t="inlineStr">
        <is>
          <t>LUCTV</t>
        </is>
      </c>
      <c r="I12" s="223" t="inlineStr">
        <is>
          <t>N/A</t>
        </is>
      </c>
      <c r="J12" s="223" t="n"/>
      <c r="K12" s="223" t="n"/>
      <c r="L12" s="223" t="inlineStr">
        <is>
          <t>N/A</t>
        </is>
      </c>
      <c r="M12" s="223" t="n"/>
      <c r="N12" s="223" t="n"/>
      <c r="O12" s="223" t="inlineStr">
        <is>
          <t>Iteration 2.</t>
        </is>
      </c>
    </row>
    <row r="13">
      <c r="A13" s="222" t="inlineStr">
        <is>
          <t>Scenario 2 - Unauthorized Access Lockout</t>
        </is>
      </c>
      <c r="B13" s="232" t="n"/>
      <c r="C13" s="232" t="n"/>
      <c r="D13" s="232" t="n"/>
      <c r="E13" s="232" t="n"/>
      <c r="F13" s="232" t="n"/>
      <c r="G13" s="232" t="n"/>
      <c r="H13" s="232" t="n"/>
      <c r="I13" s="232" t="n"/>
      <c r="J13" s="232" t="n"/>
      <c r="K13" s="232" t="n"/>
      <c r="L13" s="232" t="n"/>
      <c r="M13" s="232" t="n"/>
      <c r="N13" s="232" t="n"/>
      <c r="O13" s="233" t="n"/>
    </row>
    <row r="14">
      <c r="A14" s="223" t="inlineStr">
        <is>
          <t>TC02</t>
        </is>
      </c>
      <c r="B14" s="224" t="inlineStr">
        <is>
          <t>Verify unauthenticated guest cannot access profile page.</t>
        </is>
      </c>
      <c r="C14" s="224" t="inlineStr">
        <is>
          <t>1. Clear session / logout.
2. Navigate directly to '/profile'.</t>
        </is>
      </c>
      <c r="D14" s="224" t="inlineStr">
        <is>
          <t>System blocks access, redirects guest to '/login' with error: 'Vui lòng đăng nhập để tiếp tục!'.</t>
        </is>
      </c>
      <c r="E14" s="224" t="inlineStr">
        <is>
          <t>User session is invalid.</t>
        </is>
      </c>
      <c r="F14" s="223" t="inlineStr">
        <is>
          <t>Passed</t>
        </is>
      </c>
      <c r="G14" s="234" t="n">
        <v>46199</v>
      </c>
      <c r="H14" s="223" t="inlineStr">
        <is>
          <t>LUCTV</t>
        </is>
      </c>
      <c r="I14" s="223" t="inlineStr">
        <is>
          <t>N/A</t>
        </is>
      </c>
      <c r="J14" s="223" t="n"/>
      <c r="K14" s="223" t="n"/>
      <c r="L14" s="223" t="inlineStr">
        <is>
          <t>N/A</t>
        </is>
      </c>
      <c r="M14" s="223" t="n"/>
      <c r="N14" s="223" t="n"/>
      <c r="O14" s="223" t="inlineStr">
        <is>
          <t>Iteration 2.</t>
        </is>
      </c>
    </row>
  </sheetData>
  <mergeCells count="5">
    <mergeCell ref="B4:E4"/>
    <mergeCell ref="A13:O13"/>
    <mergeCell ref="A11:O11"/>
    <mergeCell ref="B3:E3"/>
    <mergeCell ref="B2:E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selection activeCell="A1" sqref="A1"/>
    </sheetView>
  </sheetViews>
  <sheetFormatPr baseColWidth="8" defaultRowHeight="15"/>
  <cols>
    <col width="27.5" customWidth="1" style="165" min="1" max="1"/>
    <col width="41.13" customWidth="1" style="165" min="2" max="2"/>
    <col width="90.38" customWidth="1" style="165" min="3" max="3"/>
    <col width="83.38" customWidth="1" style="165" min="4" max="4"/>
    <col width="43.25" customWidth="1" style="165" min="5" max="5"/>
    <col width="10" customWidth="1" style="165" min="6" max="6"/>
    <col width="8.630000000000001" customWidth="1" style="165" min="7" max="7"/>
    <col width="14.25" customWidth="1" style="165" min="8" max="8"/>
    <col width="6.38" customWidth="1" style="165" min="9" max="9"/>
    <col width="4.75" customWidth="1" style="165" min="10" max="10"/>
    <col width="5.5" customWidth="1" style="165" min="11" max="11"/>
    <col width="6.38" customWidth="1" style="165" min="12" max="12"/>
    <col width="4.75" customWidth="1" style="165" min="13" max="13"/>
    <col width="5.5" customWidth="1" style="165" min="14" max="14"/>
    <col width="34.38" customWidth="1" style="165" min="15" max="15"/>
    <col width="10.13" customWidth="1" style="165" min="16" max="16"/>
    <col width="8.130000000000001" customWidth="1" style="165" min="17" max="17"/>
    <col width="6.5" customWidth="1" style="165" min="18" max="18"/>
    <col width="9" customWidth="1" style="165" min="19" max="19"/>
    <col width="13" customWidth="1" style="165" min="20" max="20"/>
    <col width="13" customWidth="1" style="165" min="21" max="21"/>
    <col width="13" customWidth="1" style="165" min="22" max="22"/>
    <col width="13" customWidth="1" style="165" min="23" max="23"/>
    <col width="13" customWidth="1" style="165" min="24" max="24"/>
    <col width="13" customWidth="1" style="165" min="25" max="25"/>
    <col width="13" customWidth="1" style="165" min="26" max="26"/>
  </cols>
  <sheetData>
    <row r="1" ht="12.75" customHeight="1" s="165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5" t="n"/>
    </row>
    <row r="2" ht="15" customHeight="1" s="165">
      <c r="A2" s="200" t="inlineStr">
        <is>
          <t>Workflow</t>
        </is>
      </c>
      <c r="B2" s="201" t="inlineStr">
        <is>
          <t>Iteration 2 - View Account List</t>
        </is>
      </c>
      <c r="C2" s="196" t="n"/>
      <c r="D2" s="196" t="n"/>
      <c r="E2" s="197" t="n"/>
      <c r="F2" s="202" t="n"/>
      <c r="G2" s="203" t="n"/>
      <c r="H2" s="204" t="n"/>
      <c r="I2" s="202" t="n"/>
      <c r="J2" s="203" t="n"/>
      <c r="K2" s="204" t="n"/>
      <c r="L2" s="202" t="n"/>
      <c r="M2" s="203" t="n"/>
      <c r="N2" s="204" t="n"/>
      <c r="O2" s="204" t="n"/>
      <c r="P2" s="204" t="n"/>
      <c r="Q2" s="205" t="n"/>
    </row>
    <row r="3" ht="12.75" customHeight="1" s="165">
      <c r="A3" s="206" t="inlineStr">
        <is>
          <t>Test requirement</t>
        </is>
      </c>
      <c r="B3" s="207" t="inlineStr">
        <is>
          <t>Verify global user directory list, paginating, and filters.</t>
        </is>
      </c>
      <c r="C3" s="167" t="n"/>
      <c r="D3" s="167" t="n"/>
      <c r="E3" s="199" t="n"/>
      <c r="F3" s="202" t="n"/>
      <c r="G3" s="203" t="n"/>
      <c r="H3" s="204" t="n"/>
      <c r="I3" s="202" t="n"/>
      <c r="J3" s="203" t="n"/>
      <c r="K3" s="204" t="n"/>
      <c r="L3" s="202" t="n"/>
      <c r="M3" s="203" t="n"/>
      <c r="N3" s="204" t="n"/>
      <c r="O3" s="204" t="n"/>
      <c r="P3" s="204" t="n"/>
      <c r="Q3" s="205" t="n"/>
    </row>
    <row r="4" ht="18" customHeight="1" s="165">
      <c r="A4" s="206" t="inlineStr">
        <is>
          <t>Number of TCs</t>
        </is>
      </c>
      <c r="B4" s="207" t="n">
        <v>3</v>
      </c>
      <c r="C4" s="167" t="n"/>
      <c r="D4" s="167" t="n"/>
      <c r="E4" s="199" t="n"/>
      <c r="F4" s="202" t="n"/>
      <c r="G4" s="203" t="n"/>
      <c r="H4" s="204" t="n"/>
      <c r="I4" s="202" t="n"/>
      <c r="J4" s="203" t="n"/>
      <c r="K4" s="204" t="n"/>
      <c r="L4" s="202" t="n"/>
      <c r="M4" s="203" t="n"/>
      <c r="N4" s="204" t="n"/>
      <c r="O4" s="204" t="n"/>
      <c r="P4" s="204" t="n"/>
      <c r="Q4" s="205" t="n"/>
    </row>
    <row r="5" ht="19.5" customHeight="1" s="165">
      <c r="A5" s="208" t="inlineStr">
        <is>
          <t>Testing Round</t>
        </is>
      </c>
      <c r="B5" s="209" t="inlineStr">
        <is>
          <t>Passed</t>
        </is>
      </c>
      <c r="C5" s="209" t="inlineStr">
        <is>
          <t>Failed</t>
        </is>
      </c>
      <c r="D5" s="209" t="inlineStr">
        <is>
          <t>Pending</t>
        </is>
      </c>
      <c r="E5" s="210" t="inlineStr">
        <is>
          <t>N/A</t>
        </is>
      </c>
      <c r="F5" s="211" t="n"/>
      <c r="G5" s="211" t="n"/>
      <c r="H5" s="194" t="n"/>
      <c r="I5" s="211" t="n"/>
      <c r="J5" s="211" t="n"/>
      <c r="K5" s="194" t="n"/>
      <c r="L5" s="211" t="n"/>
      <c r="M5" s="211" t="n"/>
      <c r="N5" s="194" t="n"/>
      <c r="O5" s="194" t="n"/>
      <c r="P5" s="194" t="n"/>
      <c r="Q5" s="212" t="n"/>
    </row>
    <row r="6" ht="15" customHeight="1" s="165">
      <c r="A6" s="208" t="inlineStr">
        <is>
          <t>Round 1</t>
        </is>
      </c>
      <c r="B6" s="213">
        <f>COUNTIF($F11:$F15,B5)</f>
        <v/>
      </c>
      <c r="C6" s="213">
        <f>COUNTIF($F11:$F15,C5)</f>
        <v/>
      </c>
      <c r="D6" s="213">
        <f>COUNTIF($F11:$F15,D5)</f>
        <v/>
      </c>
      <c r="E6" s="214">
        <f>COUNTIF($F11:$F15,E5)</f>
        <v/>
      </c>
      <c r="F6" s="215" t="n"/>
      <c r="G6" s="215" t="n"/>
      <c r="H6" s="194" t="n"/>
      <c r="I6" s="215" t="n"/>
      <c r="J6" s="215" t="n"/>
      <c r="K6" s="194" t="n"/>
      <c r="L6" s="215" t="n"/>
      <c r="M6" s="215" t="n"/>
      <c r="N6" s="194" t="n"/>
      <c r="O6" s="194" t="n"/>
      <c r="P6" s="194" t="n"/>
      <c r="Q6" s="212" t="n"/>
    </row>
    <row r="7" ht="15" customHeight="1" s="165">
      <c r="A7" s="208" t="inlineStr">
        <is>
          <t>Round 2</t>
        </is>
      </c>
      <c r="B7" s="213" t="n">
        <v>0</v>
      </c>
      <c r="C7" s="213">
        <f>COUNTIF($F11:$F15,C5)</f>
        <v/>
      </c>
      <c r="D7" s="213" t="n">
        <v>0</v>
      </c>
      <c r="E7" s="214">
        <f>B4-B7-C7-D7</f>
        <v/>
      </c>
      <c r="F7" s="215" t="n"/>
      <c r="G7" s="215" t="n"/>
      <c r="H7" s="194" t="n"/>
      <c r="I7" s="215" t="n"/>
      <c r="J7" s="215" t="n"/>
      <c r="K7" s="194" t="n"/>
      <c r="L7" s="215" t="n"/>
      <c r="M7" s="215" t="n"/>
      <c r="N7" s="194" t="n"/>
      <c r="O7" s="194" t="n"/>
      <c r="P7" s="194" t="n"/>
      <c r="Q7" s="212" t="n"/>
    </row>
    <row r="8" ht="15" customHeight="1" s="165">
      <c r="A8" s="216" t="inlineStr">
        <is>
          <t>Round 3</t>
        </is>
      </c>
      <c r="B8" s="217" t="n">
        <v>0</v>
      </c>
      <c r="C8" s="217">
        <f>COUNTIF($F11:$F15,C5)</f>
        <v/>
      </c>
      <c r="D8" s="217" t="n">
        <v>0</v>
      </c>
      <c r="E8" s="218">
        <f>B4-B8-C8-D8</f>
        <v/>
      </c>
      <c r="F8" s="215" t="n"/>
      <c r="G8" s="215" t="n"/>
      <c r="H8" s="194" t="n"/>
      <c r="I8" s="215" t="n"/>
      <c r="J8" s="215" t="n"/>
      <c r="K8" s="194" t="n"/>
      <c r="L8" s="215" t="n"/>
      <c r="M8" s="215" t="n"/>
      <c r="N8" s="194" t="n"/>
      <c r="O8" s="194" t="n"/>
      <c r="P8" s="194" t="n"/>
      <c r="Q8" s="212" t="n"/>
    </row>
    <row r="9" ht="15" customHeight="1" s="165">
      <c r="A9" s="194" t="n"/>
      <c r="B9" s="194" t="n"/>
      <c r="C9" s="194" t="n"/>
      <c r="D9" s="194" t="n"/>
      <c r="E9" s="194" t="n"/>
      <c r="F9" s="219" t="n"/>
      <c r="G9" s="194" t="n"/>
      <c r="H9" s="194" t="n"/>
      <c r="I9" s="219" t="n"/>
      <c r="J9" s="194" t="n"/>
      <c r="K9" s="194" t="n"/>
      <c r="L9" s="219" t="n"/>
      <c r="M9" s="194" t="n"/>
      <c r="N9" s="194" t="n"/>
      <c r="O9" s="194" t="n"/>
      <c r="P9" s="194" t="n"/>
      <c r="Q9" s="212" t="n"/>
    </row>
    <row r="10" ht="25.5" customHeight="1" s="165">
      <c r="A10" s="220" t="inlineStr">
        <is>
          <t>Test Case ID</t>
        </is>
      </c>
      <c r="B10" s="220" t="inlineStr">
        <is>
          <t>Test Case Description</t>
        </is>
      </c>
      <c r="C10" s="220" t="inlineStr">
        <is>
          <t>Test Case Procedure</t>
        </is>
      </c>
      <c r="D10" s="220" t="inlineStr">
        <is>
          <t>Expected Results</t>
        </is>
      </c>
      <c r="E10" s="220" t="inlineStr">
        <is>
          <t>Pre-conditions</t>
        </is>
      </c>
      <c r="F10" s="220" t="inlineStr">
        <is>
          <t>Round 1</t>
        </is>
      </c>
      <c r="G10" s="220" t="inlineStr">
        <is>
          <t>Test date</t>
        </is>
      </c>
      <c r="H10" s="220" t="inlineStr">
        <is>
          <t>Tester</t>
        </is>
      </c>
      <c r="I10" s="220" t="inlineStr">
        <is>
          <t>Round 2</t>
        </is>
      </c>
      <c r="J10" s="220" t="inlineStr">
        <is>
          <t>Test date</t>
        </is>
      </c>
      <c r="K10" s="220" t="inlineStr">
        <is>
          <t>Tester</t>
        </is>
      </c>
      <c r="L10" s="220" t="inlineStr">
        <is>
          <t>Round 3</t>
        </is>
      </c>
      <c r="M10" s="220" t="inlineStr">
        <is>
          <t>Test date</t>
        </is>
      </c>
      <c r="N10" s="220" t="inlineStr">
        <is>
          <t>Tester</t>
        </is>
      </c>
      <c r="O10" s="220" t="inlineStr">
        <is>
          <t>Note</t>
        </is>
      </c>
      <c r="P10" s="122" t="n"/>
      <c r="Q10" s="221" t="n"/>
    </row>
    <row r="11">
      <c r="A11" s="222" t="inlineStr">
        <is>
          <t>Scenario 1 - List Navigation and Pagination</t>
        </is>
      </c>
      <c r="B11" s="232" t="n"/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2" t="n"/>
      <c r="M11" s="232" t="n"/>
      <c r="N11" s="232" t="n"/>
      <c r="O11" s="233" t="n"/>
    </row>
    <row r="12">
      <c r="A12" s="223" t="inlineStr">
        <is>
          <t>TC01</t>
        </is>
      </c>
      <c r="B12" s="224" t="inlineStr">
        <is>
          <t>Verify account list displays paginated users (max 10 records).</t>
        </is>
      </c>
      <c r="C12" s="224" t="inlineStr">
        <is>
          <t>1. Access '/admin/users' path.
2. Verify user count and pagination controls.</t>
        </is>
      </c>
      <c r="D12" s="224" t="inlineStr">
        <is>
          <t>System renders table with up to 10 users, shows correct user roles, status badge, and pagination links.</t>
        </is>
      </c>
      <c r="E12" s="224" t="inlineStr">
        <is>
          <t>Admin is logged in.</t>
        </is>
      </c>
      <c r="F12" s="223" t="inlineStr">
        <is>
          <t>Passed</t>
        </is>
      </c>
      <c r="G12" s="234" t="n">
        <v>46199</v>
      </c>
      <c r="H12" s="223" t="inlineStr">
        <is>
          <t>LUCTV</t>
        </is>
      </c>
      <c r="I12" s="223" t="inlineStr">
        <is>
          <t>N/A</t>
        </is>
      </c>
      <c r="J12" s="223" t="n"/>
      <c r="K12" s="223" t="n"/>
      <c r="L12" s="223" t="inlineStr">
        <is>
          <t>N/A</t>
        </is>
      </c>
      <c r="M12" s="223" t="n"/>
      <c r="N12" s="223" t="n"/>
      <c r="O12" s="223" t="inlineStr">
        <is>
          <t>Iteration 2.</t>
        </is>
      </c>
    </row>
    <row r="13">
      <c r="A13" s="222" t="inlineStr">
        <is>
          <t>Scenario 2 - Directory Search and Filtering</t>
        </is>
      </c>
      <c r="B13" s="232" t="n"/>
      <c r="C13" s="232" t="n"/>
      <c r="D13" s="232" t="n"/>
      <c r="E13" s="232" t="n"/>
      <c r="F13" s="232" t="n"/>
      <c r="G13" s="232" t="n"/>
      <c r="H13" s="232" t="n"/>
      <c r="I13" s="232" t="n"/>
      <c r="J13" s="232" t="n"/>
      <c r="K13" s="232" t="n"/>
      <c r="L13" s="232" t="n"/>
      <c r="M13" s="232" t="n"/>
      <c r="N13" s="232" t="n"/>
      <c r="O13" s="233" t="n"/>
    </row>
    <row r="14">
      <c r="A14" s="223" t="inlineStr">
        <is>
          <t>TC02</t>
        </is>
      </c>
      <c r="B14" s="224" t="inlineStr">
        <is>
          <t>Verify search directory by name or email keyword.</t>
        </is>
      </c>
      <c r="C14" s="224" t="inlineStr">
        <is>
          <t>1. Enter a valid search keyword (e.g., 'Luc').
2. Click 'Tìm kiếm'.</t>
        </is>
      </c>
      <c r="D14" s="224" t="inlineStr">
        <is>
          <t>Table filters to show only matching users. Keyword parameter remains preserved on page navigation.</t>
        </is>
      </c>
      <c r="E14" s="224" t="inlineStr">
        <is>
          <t>Admin is logged in.</t>
        </is>
      </c>
      <c r="F14" s="223" t="inlineStr">
        <is>
          <t>Passed</t>
        </is>
      </c>
      <c r="G14" s="234" t="n">
        <v>46199</v>
      </c>
      <c r="H14" s="223" t="inlineStr">
        <is>
          <t>LUCTV</t>
        </is>
      </c>
      <c r="I14" s="223" t="inlineStr">
        <is>
          <t>N/A</t>
        </is>
      </c>
      <c r="J14" s="223" t="n"/>
      <c r="K14" s="223" t="n"/>
      <c r="L14" s="223" t="inlineStr">
        <is>
          <t>N/A</t>
        </is>
      </c>
      <c r="M14" s="223" t="n"/>
      <c r="N14" s="223" t="n"/>
      <c r="O14" s="223" t="inlineStr">
        <is>
          <t>Iteration 2.</t>
        </is>
      </c>
    </row>
    <row r="15">
      <c r="A15" s="223" t="inlineStr">
        <is>
          <t>TC03</t>
        </is>
      </c>
      <c r="B15" s="224" t="inlineStr">
        <is>
          <t>Verify filtering users by role and status.</t>
        </is>
      </c>
      <c r="C15" s="224" t="inlineStr">
        <is>
          <t>1. Select a specific role or status from dropdown.
2. Verify automatic filter reload.</t>
        </is>
      </c>
      <c r="D15" s="224" t="inlineStr">
        <is>
          <t>System reloads list containing only matching records matching selected role and status filters.</t>
        </is>
      </c>
      <c r="E15" s="224" t="inlineStr">
        <is>
          <t>Admin is logged in.</t>
        </is>
      </c>
      <c r="F15" s="223" t="inlineStr">
        <is>
          <t>Passed</t>
        </is>
      </c>
      <c r="G15" s="234" t="n">
        <v>46199</v>
      </c>
      <c r="H15" s="223" t="inlineStr">
        <is>
          <t>LUCTV</t>
        </is>
      </c>
      <c r="I15" s="223" t="inlineStr">
        <is>
          <t>N/A</t>
        </is>
      </c>
      <c r="J15" s="223" t="n"/>
      <c r="K15" s="223" t="n"/>
      <c r="L15" s="223" t="inlineStr">
        <is>
          <t>N/A</t>
        </is>
      </c>
      <c r="M15" s="223" t="n"/>
      <c r="N15" s="223" t="n"/>
      <c r="O15" s="223" t="inlineStr">
        <is>
          <t>Iteration 2.</t>
        </is>
      </c>
    </row>
  </sheetData>
  <mergeCells count="5">
    <mergeCell ref="B4:E4"/>
    <mergeCell ref="A13:O13"/>
    <mergeCell ref="A11:O11"/>
    <mergeCell ref="B3:E3"/>
    <mergeCell ref="B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27.5" customWidth="1" style="165" min="1" max="1"/>
    <col width="41.13" customWidth="1" style="165" min="2" max="2"/>
    <col width="90.38" customWidth="1" style="165" min="3" max="3"/>
    <col width="83.38" customWidth="1" style="165" min="4" max="4"/>
    <col width="43.25" customWidth="1" style="165" min="5" max="5"/>
    <col width="10" customWidth="1" style="165" min="6" max="6"/>
    <col width="8.630000000000001" customWidth="1" style="165" min="7" max="7"/>
    <col width="14.25" customWidth="1" style="165" min="8" max="8"/>
    <col width="6.38" customWidth="1" style="165" min="9" max="9"/>
    <col width="4.75" customWidth="1" style="165" min="10" max="10"/>
    <col width="5.5" customWidth="1" style="165" min="11" max="11"/>
    <col width="6.38" customWidth="1" style="165" min="12" max="12"/>
    <col width="4.75" customWidth="1" style="165" min="13" max="13"/>
    <col width="5.5" customWidth="1" style="165" min="14" max="14"/>
    <col width="34.38" customWidth="1" style="165" min="15" max="15"/>
    <col width="10.13" customWidth="1" style="165" min="16" max="16"/>
    <col width="8.130000000000001" customWidth="1" style="165" min="17" max="17"/>
    <col width="6.5" customWidth="1" style="165" min="18" max="18"/>
    <col width="9" customWidth="1" style="165" min="19" max="19"/>
    <col width="13" customWidth="1" style="165" min="20" max="20"/>
    <col width="13" customWidth="1" style="165" min="21" max="21"/>
    <col width="13" customWidth="1" style="165" min="22" max="22"/>
    <col width="13" customWidth="1" style="165" min="23" max="23"/>
    <col width="13" customWidth="1" style="165" min="24" max="24"/>
    <col width="13" customWidth="1" style="165" min="25" max="25"/>
    <col width="13" customWidth="1" style="165" min="26" max="26"/>
  </cols>
  <sheetData>
    <row r="1" ht="12.75" customHeight="1" s="165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5" t="n"/>
    </row>
    <row r="2" ht="15" customHeight="1" s="165">
      <c r="A2" s="200" t="inlineStr">
        <is>
          <t>Workflow</t>
        </is>
      </c>
      <c r="B2" s="201" t="inlineStr">
        <is>
          <t>Iteration 2 - Change Account Status</t>
        </is>
      </c>
      <c r="C2" s="196" t="n"/>
      <c r="D2" s="196" t="n"/>
      <c r="E2" s="197" t="n"/>
      <c r="F2" s="202" t="n"/>
      <c r="G2" s="203" t="n"/>
      <c r="H2" s="204" t="n"/>
      <c r="I2" s="202" t="n"/>
      <c r="J2" s="203" t="n"/>
      <c r="K2" s="204" t="n"/>
      <c r="L2" s="202" t="n"/>
      <c r="M2" s="203" t="n"/>
      <c r="N2" s="204" t="n"/>
      <c r="O2" s="204" t="n"/>
      <c r="P2" s="204" t="n"/>
      <c r="Q2" s="205" t="n"/>
    </row>
    <row r="3" ht="12.75" customHeight="1" s="165">
      <c r="A3" s="206" t="inlineStr">
        <is>
          <t>Test requirement</t>
        </is>
      </c>
      <c r="B3" s="207" t="inlineStr">
        <is>
          <t>Verify account locking and unlocking with self-lockout prevention.</t>
        </is>
      </c>
      <c r="C3" s="167" t="n"/>
      <c r="D3" s="167" t="n"/>
      <c r="E3" s="199" t="n"/>
      <c r="F3" s="202" t="n"/>
      <c r="G3" s="203" t="n"/>
      <c r="H3" s="204" t="n"/>
      <c r="I3" s="202" t="n"/>
      <c r="J3" s="203" t="n"/>
      <c r="K3" s="204" t="n"/>
      <c r="L3" s="202" t="n"/>
      <c r="M3" s="203" t="n"/>
      <c r="N3" s="204" t="n"/>
      <c r="O3" s="204" t="n"/>
      <c r="P3" s="204" t="n"/>
      <c r="Q3" s="205" t="n"/>
    </row>
    <row r="4" ht="18" customHeight="1" s="165">
      <c r="A4" s="206" t="inlineStr">
        <is>
          <t>Number of TCs</t>
        </is>
      </c>
      <c r="B4" s="207" t="n">
        <v>2</v>
      </c>
      <c r="C4" s="167" t="n"/>
      <c r="D4" s="167" t="n"/>
      <c r="E4" s="199" t="n"/>
      <c r="F4" s="202" t="n"/>
      <c r="G4" s="203" t="n"/>
      <c r="H4" s="204" t="n"/>
      <c r="I4" s="202" t="n"/>
      <c r="J4" s="203" t="n"/>
      <c r="K4" s="204" t="n"/>
      <c r="L4" s="202" t="n"/>
      <c r="M4" s="203" t="n"/>
      <c r="N4" s="204" t="n"/>
      <c r="O4" s="204" t="n"/>
      <c r="P4" s="204" t="n"/>
      <c r="Q4" s="205" t="n"/>
    </row>
    <row r="5" ht="19.5" customHeight="1" s="165">
      <c r="A5" s="208" t="inlineStr">
        <is>
          <t>Testing Round</t>
        </is>
      </c>
      <c r="B5" s="209" t="inlineStr">
        <is>
          <t>Passed</t>
        </is>
      </c>
      <c r="C5" s="209" t="inlineStr">
        <is>
          <t>Failed</t>
        </is>
      </c>
      <c r="D5" s="209" t="inlineStr">
        <is>
          <t>Pending</t>
        </is>
      </c>
      <c r="E5" s="210" t="inlineStr">
        <is>
          <t>N/A</t>
        </is>
      </c>
      <c r="F5" s="211" t="n"/>
      <c r="G5" s="211" t="n"/>
      <c r="H5" s="194" t="n"/>
      <c r="I5" s="211" t="n"/>
      <c r="J5" s="211" t="n"/>
      <c r="K5" s="194" t="n"/>
      <c r="L5" s="211" t="n"/>
      <c r="M5" s="211" t="n"/>
      <c r="N5" s="194" t="n"/>
      <c r="O5" s="194" t="n"/>
      <c r="P5" s="194" t="n"/>
      <c r="Q5" s="212" t="n"/>
    </row>
    <row r="6" ht="15" customHeight="1" s="165">
      <c r="A6" s="208" t="inlineStr">
        <is>
          <t>Round 1</t>
        </is>
      </c>
      <c r="B6" s="213">
        <f>COUNTIF($F11:$F14,B5)</f>
        <v/>
      </c>
      <c r="C6" s="213">
        <f>COUNTIF($F11:$F14,C5)</f>
        <v/>
      </c>
      <c r="D6" s="213">
        <f>COUNTIF($F11:$F14,D5)</f>
        <v/>
      </c>
      <c r="E6" s="214">
        <f>COUNTIF($F11:$F14,E5)</f>
        <v/>
      </c>
      <c r="F6" s="215" t="n"/>
      <c r="G6" s="215" t="n"/>
      <c r="H6" s="194" t="n"/>
      <c r="I6" s="215" t="n"/>
      <c r="J6" s="215" t="n"/>
      <c r="K6" s="194" t="n"/>
      <c r="L6" s="215" t="n"/>
      <c r="M6" s="215" t="n"/>
      <c r="N6" s="194" t="n"/>
      <c r="O6" s="194" t="n"/>
      <c r="P6" s="194" t="n"/>
      <c r="Q6" s="212" t="n"/>
    </row>
    <row r="7" ht="15" customHeight="1" s="165">
      <c r="A7" s="208" t="inlineStr">
        <is>
          <t>Round 2</t>
        </is>
      </c>
      <c r="B7" s="213" t="n">
        <v>0</v>
      </c>
      <c r="C7" s="213">
        <f>COUNTIF($F11:$F14,C5)</f>
        <v/>
      </c>
      <c r="D7" s="213" t="n">
        <v>0</v>
      </c>
      <c r="E7" s="214">
        <f>B4-B7-C7-D7</f>
        <v/>
      </c>
      <c r="F7" s="215" t="n"/>
      <c r="G7" s="215" t="n"/>
      <c r="H7" s="194" t="n"/>
      <c r="I7" s="215" t="n"/>
      <c r="J7" s="215" t="n"/>
      <c r="K7" s="194" t="n"/>
      <c r="L7" s="215" t="n"/>
      <c r="M7" s="215" t="n"/>
      <c r="N7" s="194" t="n"/>
      <c r="O7" s="194" t="n"/>
      <c r="P7" s="194" t="n"/>
      <c r="Q7" s="212" t="n"/>
    </row>
    <row r="8" ht="15" customHeight="1" s="165">
      <c r="A8" s="216" t="inlineStr">
        <is>
          <t>Round 3</t>
        </is>
      </c>
      <c r="B8" s="217" t="n">
        <v>0</v>
      </c>
      <c r="C8" s="217">
        <f>COUNTIF($F11:$F14,C5)</f>
        <v/>
      </c>
      <c r="D8" s="217" t="n">
        <v>0</v>
      </c>
      <c r="E8" s="218">
        <f>B4-B8-C8-D8</f>
        <v/>
      </c>
      <c r="F8" s="215" t="n"/>
      <c r="G8" s="215" t="n"/>
      <c r="H8" s="194" t="n"/>
      <c r="I8" s="215" t="n"/>
      <c r="J8" s="215" t="n"/>
      <c r="K8" s="194" t="n"/>
      <c r="L8" s="215" t="n"/>
      <c r="M8" s="215" t="n"/>
      <c r="N8" s="194" t="n"/>
      <c r="O8" s="194" t="n"/>
      <c r="P8" s="194" t="n"/>
      <c r="Q8" s="212" t="n"/>
    </row>
    <row r="9" ht="15" customHeight="1" s="165">
      <c r="A9" s="194" t="n"/>
      <c r="B9" s="194" t="n"/>
      <c r="C9" s="194" t="n"/>
      <c r="D9" s="194" t="n"/>
      <c r="E9" s="194" t="n"/>
      <c r="F9" s="219" t="n"/>
      <c r="G9" s="194" t="n"/>
      <c r="H9" s="194" t="n"/>
      <c r="I9" s="219" t="n"/>
      <c r="J9" s="194" t="n"/>
      <c r="K9" s="194" t="n"/>
      <c r="L9" s="219" t="n"/>
      <c r="M9" s="194" t="n"/>
      <c r="N9" s="194" t="n"/>
      <c r="O9" s="194" t="n"/>
      <c r="P9" s="194" t="n"/>
      <c r="Q9" s="212" t="n"/>
    </row>
    <row r="10" ht="25.5" customHeight="1" s="165">
      <c r="A10" s="220" t="inlineStr">
        <is>
          <t>Test Case ID</t>
        </is>
      </c>
      <c r="B10" s="220" t="inlineStr">
        <is>
          <t>Test Case Description</t>
        </is>
      </c>
      <c r="C10" s="220" t="inlineStr">
        <is>
          <t>Test Case Procedure</t>
        </is>
      </c>
      <c r="D10" s="220" t="inlineStr">
        <is>
          <t>Expected Results</t>
        </is>
      </c>
      <c r="E10" s="220" t="inlineStr">
        <is>
          <t>Pre-conditions</t>
        </is>
      </c>
      <c r="F10" s="220" t="inlineStr">
        <is>
          <t>Round 1</t>
        </is>
      </c>
      <c r="G10" s="220" t="inlineStr">
        <is>
          <t>Test date</t>
        </is>
      </c>
      <c r="H10" s="220" t="inlineStr">
        <is>
          <t>Tester</t>
        </is>
      </c>
      <c r="I10" s="220" t="inlineStr">
        <is>
          <t>Round 2</t>
        </is>
      </c>
      <c r="J10" s="220" t="inlineStr">
        <is>
          <t>Test date</t>
        </is>
      </c>
      <c r="K10" s="220" t="inlineStr">
        <is>
          <t>Tester</t>
        </is>
      </c>
      <c r="L10" s="220" t="inlineStr">
        <is>
          <t>Round 3</t>
        </is>
      </c>
      <c r="M10" s="220" t="inlineStr">
        <is>
          <t>Test date</t>
        </is>
      </c>
      <c r="N10" s="220" t="inlineStr">
        <is>
          <t>Tester</t>
        </is>
      </c>
      <c r="O10" s="220" t="inlineStr">
        <is>
          <t>Note</t>
        </is>
      </c>
      <c r="P10" s="122" t="n"/>
      <c r="Q10" s="221" t="n"/>
    </row>
    <row r="11">
      <c r="A11" s="222" t="inlineStr">
        <is>
          <t>Scenario 1 - Lock and Unlock Workflow</t>
        </is>
      </c>
      <c r="B11" s="232" t="n"/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2" t="n"/>
      <c r="M11" s="232" t="n"/>
      <c r="N11" s="232" t="n"/>
      <c r="O11" s="233" t="n"/>
    </row>
    <row r="12">
      <c r="A12" s="223" t="inlineStr">
        <is>
          <t>TC01</t>
        </is>
      </c>
      <c r="B12" s="224" t="inlineStr">
        <is>
          <t>Verify locking and unlocking a customer account.</t>
        </is>
      </c>
      <c r="C12" s="224" t="inlineStr">
        <is>
          <t>1. Click 'Khóa' or 'Mở khóa' on a target row.
2. Confirm the JS alert dialog.</t>
        </is>
      </c>
      <c r="D12" s="224" t="inlineStr">
        <is>
          <t>System updates status (true/false) in DB, changes badge style, and shows success notification. Locked user is logged out.</t>
        </is>
      </c>
      <c r="E12" s="224" t="inlineStr">
        <is>
          <t>Admin is logged in.</t>
        </is>
      </c>
      <c r="F12" s="223" t="inlineStr">
        <is>
          <t>Passed</t>
        </is>
      </c>
      <c r="G12" s="234" t="n">
        <v>46199</v>
      </c>
      <c r="H12" s="223" t="inlineStr">
        <is>
          <t>LUCTV</t>
        </is>
      </c>
      <c r="I12" s="223" t="inlineStr">
        <is>
          <t>N/A</t>
        </is>
      </c>
      <c r="J12" s="223" t="n"/>
      <c r="K12" s="223" t="n"/>
      <c r="L12" s="223" t="inlineStr">
        <is>
          <t>N/A</t>
        </is>
      </c>
      <c r="M12" s="223" t="n"/>
      <c r="N12" s="223" t="n"/>
      <c r="O12" s="223" t="inlineStr">
        <is>
          <t>Iteration 2.</t>
        </is>
      </c>
    </row>
    <row r="13">
      <c r="A13" s="222" t="inlineStr">
        <is>
          <t>Scenario 2 - Self Lockout Safeguard</t>
        </is>
      </c>
      <c r="B13" s="232" t="n"/>
      <c r="C13" s="232" t="n"/>
      <c r="D13" s="232" t="n"/>
      <c r="E13" s="232" t="n"/>
      <c r="F13" s="232" t="n"/>
      <c r="G13" s="232" t="n"/>
      <c r="H13" s="232" t="n"/>
      <c r="I13" s="232" t="n"/>
      <c r="J13" s="232" t="n"/>
      <c r="K13" s="232" t="n"/>
      <c r="L13" s="232" t="n"/>
      <c r="M13" s="232" t="n"/>
      <c r="N13" s="232" t="n"/>
      <c r="O13" s="233" t="n"/>
    </row>
    <row r="14">
      <c r="A14" s="223" t="inlineStr">
        <is>
          <t>TC02</t>
        </is>
      </c>
      <c r="B14" s="224" t="inlineStr">
        <is>
          <t>Verify Admin cannot lock their own account.</t>
        </is>
      </c>
      <c r="C14" s="224" t="inlineStr">
        <is>
          <t>1. Find self account row in users table.
2. Verify Action button state.</t>
        </is>
      </c>
      <c r="D14" s="224" t="inlineStr">
        <is>
          <t>Action button displays 'Khóa' as disabled with title 'Bạn không thể tự khóa chính mình'. POST bypass is rejected on server.</t>
        </is>
      </c>
      <c r="E14" s="224" t="inlineStr">
        <is>
          <t>Admin is logged in.</t>
        </is>
      </c>
      <c r="F14" s="223" t="inlineStr">
        <is>
          <t>Passed</t>
        </is>
      </c>
      <c r="G14" s="234" t="n">
        <v>46199</v>
      </c>
      <c r="H14" s="223" t="inlineStr">
        <is>
          <t>LUCTV</t>
        </is>
      </c>
      <c r="I14" s="223" t="inlineStr">
        <is>
          <t>N/A</t>
        </is>
      </c>
      <c r="J14" s="223" t="n"/>
      <c r="K14" s="223" t="n"/>
      <c r="L14" s="223" t="inlineStr">
        <is>
          <t>N/A</t>
        </is>
      </c>
      <c r="M14" s="223" t="n"/>
      <c r="N14" s="223" t="n"/>
      <c r="O14" s="223" t="inlineStr">
        <is>
          <t>Iteration 2.</t>
        </is>
      </c>
    </row>
  </sheetData>
  <mergeCells count="5">
    <mergeCell ref="B4:E4"/>
    <mergeCell ref="A13:O13"/>
    <mergeCell ref="A11:O11"/>
    <mergeCell ref="B3:E3"/>
    <mergeCell ref="B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27.5" customWidth="1" style="165" min="1" max="1"/>
    <col width="41.13" customWidth="1" style="165" min="2" max="2"/>
    <col width="90.38" customWidth="1" style="165" min="3" max="3"/>
    <col width="83.38" customWidth="1" style="165" min="4" max="4"/>
    <col width="43.25" customWidth="1" style="165" min="5" max="5"/>
    <col width="10" customWidth="1" style="165" min="6" max="6"/>
    <col width="8.630000000000001" customWidth="1" style="165" min="7" max="7"/>
    <col width="14.25" customWidth="1" style="165" min="8" max="8"/>
    <col width="6.38" customWidth="1" style="165" min="9" max="9"/>
    <col width="4.75" customWidth="1" style="165" min="10" max="10"/>
    <col width="5.5" customWidth="1" style="165" min="11" max="11"/>
    <col width="6.38" customWidth="1" style="165" min="12" max="12"/>
    <col width="4.75" customWidth="1" style="165" min="13" max="13"/>
    <col width="5.5" customWidth="1" style="165" min="14" max="14"/>
    <col width="34.38" customWidth="1" style="165" min="15" max="15"/>
    <col width="10.13" customWidth="1" style="165" min="16" max="16"/>
    <col width="8.130000000000001" customWidth="1" style="165" min="17" max="17"/>
    <col width="6.5" customWidth="1" style="165" min="18" max="18"/>
    <col width="9" customWidth="1" style="165" min="19" max="19"/>
    <col width="13" customWidth="1" style="165" min="20" max="20"/>
    <col width="13" customWidth="1" style="165" min="21" max="21"/>
    <col width="13" customWidth="1" style="165" min="22" max="22"/>
    <col width="13" customWidth="1" style="165" min="23" max="23"/>
    <col width="13" customWidth="1" style="165" min="24" max="24"/>
    <col width="13" customWidth="1" style="165" min="25" max="25"/>
    <col width="13" customWidth="1" style="165" min="26" max="26"/>
  </cols>
  <sheetData>
    <row r="1" ht="12.75" customHeight="1" s="165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5" t="n"/>
    </row>
    <row r="2" ht="15" customHeight="1" s="165">
      <c r="A2" s="200" t="inlineStr">
        <is>
          <t>Workflow</t>
        </is>
      </c>
      <c r="B2" s="201" t="inlineStr">
        <is>
          <t>Iteration 2 - Change Account Role</t>
        </is>
      </c>
      <c r="C2" s="196" t="n"/>
      <c r="D2" s="196" t="n"/>
      <c r="E2" s="197" t="n"/>
      <c r="F2" s="202" t="n"/>
      <c r="G2" s="203" t="n"/>
      <c r="H2" s="204" t="n"/>
      <c r="I2" s="202" t="n"/>
      <c r="J2" s="203" t="n"/>
      <c r="K2" s="204" t="n"/>
      <c r="L2" s="202" t="n"/>
      <c r="M2" s="203" t="n"/>
      <c r="N2" s="204" t="n"/>
      <c r="O2" s="204" t="n"/>
      <c r="P2" s="204" t="n"/>
      <c r="Q2" s="205" t="n"/>
    </row>
    <row r="3" ht="12.75" customHeight="1" s="165">
      <c r="A3" s="206" t="inlineStr">
        <is>
          <t>Test requirement</t>
        </is>
      </c>
      <c r="B3" s="207" t="inlineStr">
        <is>
          <t>Verify system role reassignment with self-demotion prevention.</t>
        </is>
      </c>
      <c r="C3" s="167" t="n"/>
      <c r="D3" s="167" t="n"/>
      <c r="E3" s="199" t="n"/>
      <c r="F3" s="202" t="n"/>
      <c r="G3" s="203" t="n"/>
      <c r="H3" s="204" t="n"/>
      <c r="I3" s="202" t="n"/>
      <c r="J3" s="203" t="n"/>
      <c r="K3" s="204" t="n"/>
      <c r="L3" s="202" t="n"/>
      <c r="M3" s="203" t="n"/>
      <c r="N3" s="204" t="n"/>
      <c r="O3" s="204" t="n"/>
      <c r="P3" s="204" t="n"/>
      <c r="Q3" s="205" t="n"/>
    </row>
    <row r="4" ht="18" customHeight="1" s="165">
      <c r="A4" s="206" t="inlineStr">
        <is>
          <t>Number of TCs</t>
        </is>
      </c>
      <c r="B4" s="207" t="n">
        <v>2</v>
      </c>
      <c r="C4" s="167" t="n"/>
      <c r="D4" s="167" t="n"/>
      <c r="E4" s="199" t="n"/>
      <c r="F4" s="202" t="n"/>
      <c r="G4" s="203" t="n"/>
      <c r="H4" s="204" t="n"/>
      <c r="I4" s="202" t="n"/>
      <c r="J4" s="203" t="n"/>
      <c r="K4" s="204" t="n"/>
      <c r="L4" s="202" t="n"/>
      <c r="M4" s="203" t="n"/>
      <c r="N4" s="204" t="n"/>
      <c r="O4" s="204" t="n"/>
      <c r="P4" s="204" t="n"/>
      <c r="Q4" s="205" t="n"/>
    </row>
    <row r="5" ht="19.5" customHeight="1" s="165">
      <c r="A5" s="208" t="inlineStr">
        <is>
          <t>Testing Round</t>
        </is>
      </c>
      <c r="B5" s="209" t="inlineStr">
        <is>
          <t>Passed</t>
        </is>
      </c>
      <c r="C5" s="209" t="inlineStr">
        <is>
          <t>Failed</t>
        </is>
      </c>
      <c r="D5" s="209" t="inlineStr">
        <is>
          <t>Pending</t>
        </is>
      </c>
      <c r="E5" s="210" t="inlineStr">
        <is>
          <t>N/A</t>
        </is>
      </c>
      <c r="F5" s="211" t="n"/>
      <c r="G5" s="211" t="n"/>
      <c r="H5" s="194" t="n"/>
      <c r="I5" s="211" t="n"/>
      <c r="J5" s="211" t="n"/>
      <c r="K5" s="194" t="n"/>
      <c r="L5" s="211" t="n"/>
      <c r="M5" s="211" t="n"/>
      <c r="N5" s="194" t="n"/>
      <c r="O5" s="194" t="n"/>
      <c r="P5" s="194" t="n"/>
      <c r="Q5" s="212" t="n"/>
    </row>
    <row r="6" ht="15" customHeight="1" s="165">
      <c r="A6" s="208" t="inlineStr">
        <is>
          <t>Round 1</t>
        </is>
      </c>
      <c r="B6" s="213">
        <f>COUNTIF($F11:$F14,B5)</f>
        <v/>
      </c>
      <c r="C6" s="213">
        <f>COUNTIF($F11:$F14,C5)</f>
        <v/>
      </c>
      <c r="D6" s="213">
        <f>COUNTIF($F11:$F14,D5)</f>
        <v/>
      </c>
      <c r="E6" s="214">
        <f>COUNTIF($F11:$F14,E5)</f>
        <v/>
      </c>
      <c r="F6" s="215" t="n"/>
      <c r="G6" s="215" t="n"/>
      <c r="H6" s="194" t="n"/>
      <c r="I6" s="215" t="n"/>
      <c r="J6" s="215" t="n"/>
      <c r="K6" s="194" t="n"/>
      <c r="L6" s="215" t="n"/>
      <c r="M6" s="215" t="n"/>
      <c r="N6" s="194" t="n"/>
      <c r="O6" s="194" t="n"/>
      <c r="P6" s="194" t="n"/>
      <c r="Q6" s="212" t="n"/>
    </row>
    <row r="7" ht="15" customHeight="1" s="165">
      <c r="A7" s="208" t="inlineStr">
        <is>
          <t>Round 2</t>
        </is>
      </c>
      <c r="B7" s="213" t="n">
        <v>0</v>
      </c>
      <c r="C7" s="213">
        <f>COUNTIF($F11:$F14,C5)</f>
        <v/>
      </c>
      <c r="D7" s="213" t="n">
        <v>0</v>
      </c>
      <c r="E7" s="214">
        <f>B4-B7-C7-D7</f>
        <v/>
      </c>
      <c r="F7" s="215" t="n"/>
      <c r="G7" s="215" t="n"/>
      <c r="H7" s="194" t="n"/>
      <c r="I7" s="215" t="n"/>
      <c r="J7" s="215" t="n"/>
      <c r="K7" s="194" t="n"/>
      <c r="L7" s="215" t="n"/>
      <c r="M7" s="215" t="n"/>
      <c r="N7" s="194" t="n"/>
      <c r="O7" s="194" t="n"/>
      <c r="P7" s="194" t="n"/>
      <c r="Q7" s="212" t="n"/>
    </row>
    <row r="8" ht="15" customHeight="1" s="165">
      <c r="A8" s="216" t="inlineStr">
        <is>
          <t>Round 3</t>
        </is>
      </c>
      <c r="B8" s="217" t="n">
        <v>0</v>
      </c>
      <c r="C8" s="217">
        <f>COUNTIF($F11:$F14,C5)</f>
        <v/>
      </c>
      <c r="D8" s="217" t="n">
        <v>0</v>
      </c>
      <c r="E8" s="218">
        <f>B4-B8-C8-D8</f>
        <v/>
      </c>
      <c r="F8" s="215" t="n"/>
      <c r="G8" s="215" t="n"/>
      <c r="H8" s="194" t="n"/>
      <c r="I8" s="215" t="n"/>
      <c r="J8" s="215" t="n"/>
      <c r="K8" s="194" t="n"/>
      <c r="L8" s="215" t="n"/>
      <c r="M8" s="215" t="n"/>
      <c r="N8" s="194" t="n"/>
      <c r="O8" s="194" t="n"/>
      <c r="P8" s="194" t="n"/>
      <c r="Q8" s="212" t="n"/>
    </row>
    <row r="9" ht="15" customHeight="1" s="165">
      <c r="A9" s="194" t="n"/>
      <c r="B9" s="194" t="n"/>
      <c r="C9" s="194" t="n"/>
      <c r="D9" s="194" t="n"/>
      <c r="E9" s="194" t="n"/>
      <c r="F9" s="219" t="n"/>
      <c r="G9" s="194" t="n"/>
      <c r="H9" s="194" t="n"/>
      <c r="I9" s="219" t="n"/>
      <c r="J9" s="194" t="n"/>
      <c r="K9" s="194" t="n"/>
      <c r="L9" s="219" t="n"/>
      <c r="M9" s="194" t="n"/>
      <c r="N9" s="194" t="n"/>
      <c r="O9" s="194" t="n"/>
      <c r="P9" s="194" t="n"/>
      <c r="Q9" s="212" t="n"/>
    </row>
    <row r="10" ht="25.5" customHeight="1" s="165">
      <c r="A10" s="220" t="inlineStr">
        <is>
          <t>Test Case ID</t>
        </is>
      </c>
      <c r="B10" s="220" t="inlineStr">
        <is>
          <t>Test Case Description</t>
        </is>
      </c>
      <c r="C10" s="220" t="inlineStr">
        <is>
          <t>Test Case Procedure</t>
        </is>
      </c>
      <c r="D10" s="220" t="inlineStr">
        <is>
          <t>Expected Results</t>
        </is>
      </c>
      <c r="E10" s="220" t="inlineStr">
        <is>
          <t>Pre-conditions</t>
        </is>
      </c>
      <c r="F10" s="220" t="inlineStr">
        <is>
          <t>Round 1</t>
        </is>
      </c>
      <c r="G10" s="220" t="inlineStr">
        <is>
          <t>Test date</t>
        </is>
      </c>
      <c r="H10" s="220" t="inlineStr">
        <is>
          <t>Tester</t>
        </is>
      </c>
      <c r="I10" s="220" t="inlineStr">
        <is>
          <t>Round 2</t>
        </is>
      </c>
      <c r="J10" s="220" t="inlineStr">
        <is>
          <t>Test date</t>
        </is>
      </c>
      <c r="K10" s="220" t="inlineStr">
        <is>
          <t>Tester</t>
        </is>
      </c>
      <c r="L10" s="220" t="inlineStr">
        <is>
          <t>Round 3</t>
        </is>
      </c>
      <c r="M10" s="220" t="inlineStr">
        <is>
          <t>Test date</t>
        </is>
      </c>
      <c r="N10" s="220" t="inlineStr">
        <is>
          <t>Tester</t>
        </is>
      </c>
      <c r="O10" s="220" t="inlineStr">
        <is>
          <t>Note</t>
        </is>
      </c>
      <c r="P10" s="122" t="n"/>
      <c r="Q10" s="221" t="n"/>
    </row>
    <row r="11">
      <c r="A11" s="222" t="inlineStr">
        <is>
          <t>Scenario 1 - Role Assignment Workflow</t>
        </is>
      </c>
      <c r="B11" s="232" t="n"/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2" t="n"/>
      <c r="M11" s="232" t="n"/>
      <c r="N11" s="232" t="n"/>
      <c r="O11" s="233" t="n"/>
    </row>
    <row r="12">
      <c r="A12" s="223" t="inlineStr">
        <is>
          <t>TC01</t>
        </is>
      </c>
      <c r="B12" s="224" t="inlineStr">
        <is>
          <t>Verify reassigning user role to Admin, Staff or Customer.</t>
        </is>
      </c>
      <c r="C12" s="224" t="inlineStr">
        <is>
          <t>1. Select new role in dropdown for a user.
2. Confirm the action dialog.</t>
        </is>
      </c>
      <c r="D12" s="224" t="inlineStr">
        <is>
          <t>System updates user's roleId in DB and displays role change success notification message.</t>
        </is>
      </c>
      <c r="E12" s="224" t="inlineStr">
        <is>
          <t>Admin is logged in.</t>
        </is>
      </c>
      <c r="F12" s="223" t="inlineStr">
        <is>
          <t>Passed</t>
        </is>
      </c>
      <c r="G12" s="234" t="n">
        <v>46199</v>
      </c>
      <c r="H12" s="223" t="inlineStr">
        <is>
          <t>LUCTV</t>
        </is>
      </c>
      <c r="I12" s="223" t="inlineStr">
        <is>
          <t>N/A</t>
        </is>
      </c>
      <c r="J12" s="223" t="n"/>
      <c r="K12" s="223" t="n"/>
      <c r="L12" s="223" t="inlineStr">
        <is>
          <t>N/A</t>
        </is>
      </c>
      <c r="M12" s="223" t="n"/>
      <c r="N12" s="223" t="n"/>
      <c r="O12" s="223" t="inlineStr">
        <is>
          <t>Iteration 2.</t>
        </is>
      </c>
    </row>
    <row r="13">
      <c r="A13" s="222" t="inlineStr">
        <is>
          <t>Scenario 2 - Self Demotion Safeguard</t>
        </is>
      </c>
      <c r="B13" s="232" t="n"/>
      <c r="C13" s="232" t="n"/>
      <c r="D13" s="232" t="n"/>
      <c r="E13" s="232" t="n"/>
      <c r="F13" s="232" t="n"/>
      <c r="G13" s="232" t="n"/>
      <c r="H13" s="232" t="n"/>
      <c r="I13" s="232" t="n"/>
      <c r="J13" s="232" t="n"/>
      <c r="K13" s="232" t="n"/>
      <c r="L13" s="232" t="n"/>
      <c r="M13" s="232" t="n"/>
      <c r="N13" s="232" t="n"/>
      <c r="O13" s="233" t="n"/>
    </row>
    <row r="14">
      <c r="A14" s="223" t="inlineStr">
        <is>
          <t>TC02</t>
        </is>
      </c>
      <c r="B14" s="224" t="inlineStr">
        <is>
          <t>Verify Admin cannot change their own role.</t>
        </is>
      </c>
      <c r="C14" s="224" t="inlineStr">
        <is>
          <t>1. Find self account row in users table.
2. Verify role dropdown state.</t>
        </is>
      </c>
      <c r="D14" s="224" t="inlineStr">
        <is>
          <t>Dropdown list is disabled for self row. Server rejects demotion POST requests on self User ID.</t>
        </is>
      </c>
      <c r="E14" s="224" t="inlineStr">
        <is>
          <t>Admin is logged in.</t>
        </is>
      </c>
      <c r="F14" s="223" t="inlineStr">
        <is>
          <t>Passed</t>
        </is>
      </c>
      <c r="G14" s="234" t="n">
        <v>46199</v>
      </c>
      <c r="H14" s="223" t="inlineStr">
        <is>
          <t>LUCTV</t>
        </is>
      </c>
      <c r="I14" s="223" t="inlineStr">
        <is>
          <t>N/A</t>
        </is>
      </c>
      <c r="J14" s="223" t="n"/>
      <c r="K14" s="223" t="n"/>
      <c r="L14" s="223" t="inlineStr">
        <is>
          <t>N/A</t>
        </is>
      </c>
      <c r="M14" s="223" t="n"/>
      <c r="N14" s="223" t="n"/>
      <c r="O14" s="223" t="inlineStr">
        <is>
          <t>Iteration 2.</t>
        </is>
      </c>
    </row>
  </sheetData>
  <mergeCells count="5">
    <mergeCell ref="B4:E4"/>
    <mergeCell ref="A13:O13"/>
    <mergeCell ref="A11:O11"/>
    <mergeCell ref="B3:E3"/>
    <mergeCell ref="B2:E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27.5" customWidth="1" style="165" min="1" max="1"/>
    <col width="41.13" customWidth="1" style="165" min="2" max="2"/>
    <col width="90.38" customWidth="1" style="165" min="3" max="3"/>
    <col width="83.38" customWidth="1" style="165" min="4" max="4"/>
    <col width="43.25" customWidth="1" style="165" min="5" max="5"/>
    <col width="10" customWidth="1" style="165" min="6" max="6"/>
    <col width="8.630000000000001" customWidth="1" style="165" min="7" max="7"/>
    <col width="14.25" customWidth="1" style="165" min="8" max="8"/>
    <col width="6.38" customWidth="1" style="165" min="9" max="9"/>
    <col width="4.75" customWidth="1" style="165" min="10" max="10"/>
    <col width="5.5" customWidth="1" style="165" min="11" max="11"/>
    <col width="6.38" customWidth="1" style="165" min="12" max="12"/>
    <col width="4.75" customWidth="1" style="165" min="13" max="13"/>
    <col width="5.5" customWidth="1" style="165" min="14" max="14"/>
    <col width="34.38" customWidth="1" style="165" min="15" max="15"/>
    <col width="10.13" customWidth="1" style="165" min="16" max="16"/>
    <col width="8.130000000000001" customWidth="1" style="165" min="17" max="17"/>
    <col width="6.5" customWidth="1" style="165" min="18" max="18"/>
    <col width="9" customWidth="1" style="165" min="19" max="19"/>
    <col width="13" customWidth="1" style="165" min="20" max="20"/>
    <col width="13" customWidth="1" style="165" min="21" max="21"/>
    <col width="13" customWidth="1" style="165" min="22" max="22"/>
    <col width="13" customWidth="1" style="165" min="23" max="23"/>
    <col width="13" customWidth="1" style="165" min="24" max="24"/>
    <col width="13" customWidth="1" style="165" min="25" max="25"/>
    <col width="13" customWidth="1" style="165" min="26" max="26"/>
  </cols>
  <sheetData>
    <row r="1" ht="12.75" customHeight="1" s="165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5" t="n"/>
    </row>
    <row r="2" ht="15" customHeight="1" s="165">
      <c r="A2" s="200" t="inlineStr">
        <is>
          <t>Workflow</t>
        </is>
      </c>
      <c r="B2" s="201" t="inlineStr">
        <is>
          <t>Iteration 2 - Add New User Account</t>
        </is>
      </c>
      <c r="C2" s="196" t="n"/>
      <c r="D2" s="196" t="n"/>
      <c r="E2" s="197" t="n"/>
      <c r="F2" s="202" t="n"/>
      <c r="G2" s="203" t="n"/>
      <c r="H2" s="204" t="n"/>
      <c r="I2" s="202" t="n"/>
      <c r="J2" s="203" t="n"/>
      <c r="K2" s="204" t="n"/>
      <c r="L2" s="202" t="n"/>
      <c r="M2" s="203" t="n"/>
      <c r="N2" s="204" t="n"/>
      <c r="O2" s="204" t="n"/>
      <c r="P2" s="204" t="n"/>
      <c r="Q2" s="205" t="n"/>
    </row>
    <row r="3" ht="12.75" customHeight="1" s="165">
      <c r="A3" s="206" t="inlineStr">
        <is>
          <t>Test requirement</t>
        </is>
      </c>
      <c r="B3" s="207" t="inlineStr">
        <is>
          <t>Verify direct administrator account creation and input checks.</t>
        </is>
      </c>
      <c r="C3" s="167" t="n"/>
      <c r="D3" s="167" t="n"/>
      <c r="E3" s="199" t="n"/>
      <c r="F3" s="202" t="n"/>
      <c r="G3" s="203" t="n"/>
      <c r="H3" s="204" t="n"/>
      <c r="I3" s="202" t="n"/>
      <c r="J3" s="203" t="n"/>
      <c r="K3" s="204" t="n"/>
      <c r="L3" s="202" t="n"/>
      <c r="M3" s="203" t="n"/>
      <c r="N3" s="204" t="n"/>
      <c r="O3" s="204" t="n"/>
      <c r="P3" s="204" t="n"/>
      <c r="Q3" s="205" t="n"/>
    </row>
    <row r="4" ht="18" customHeight="1" s="165">
      <c r="A4" s="206" t="inlineStr">
        <is>
          <t>Number of TCs</t>
        </is>
      </c>
      <c r="B4" s="207" t="n">
        <v>4</v>
      </c>
      <c r="C4" s="167" t="n"/>
      <c r="D4" s="167" t="n"/>
      <c r="E4" s="199" t="n"/>
      <c r="F4" s="202" t="n"/>
      <c r="G4" s="203" t="n"/>
      <c r="H4" s="204" t="n"/>
      <c r="I4" s="202" t="n"/>
      <c r="J4" s="203" t="n"/>
      <c r="K4" s="204" t="n"/>
      <c r="L4" s="202" t="n"/>
      <c r="M4" s="203" t="n"/>
      <c r="N4" s="204" t="n"/>
      <c r="O4" s="204" t="n"/>
      <c r="P4" s="204" t="n"/>
      <c r="Q4" s="205" t="n"/>
    </row>
    <row r="5" ht="19.5" customHeight="1" s="165">
      <c r="A5" s="208" t="inlineStr">
        <is>
          <t>Testing Round</t>
        </is>
      </c>
      <c r="B5" s="209" t="inlineStr">
        <is>
          <t>Passed</t>
        </is>
      </c>
      <c r="C5" s="209" t="inlineStr">
        <is>
          <t>Failed</t>
        </is>
      </c>
      <c r="D5" s="209" t="inlineStr">
        <is>
          <t>Pending</t>
        </is>
      </c>
      <c r="E5" s="210" t="inlineStr">
        <is>
          <t>N/A</t>
        </is>
      </c>
      <c r="F5" s="211" t="n"/>
      <c r="G5" s="211" t="n"/>
      <c r="H5" s="194" t="n"/>
      <c r="I5" s="211" t="n"/>
      <c r="J5" s="211" t="n"/>
      <c r="K5" s="194" t="n"/>
      <c r="L5" s="211" t="n"/>
      <c r="M5" s="211" t="n"/>
      <c r="N5" s="194" t="n"/>
      <c r="O5" s="194" t="n"/>
      <c r="P5" s="194" t="n"/>
      <c r="Q5" s="212" t="n"/>
    </row>
    <row r="6" ht="15" customHeight="1" s="165">
      <c r="A6" s="208" t="inlineStr">
        <is>
          <t>Round 1</t>
        </is>
      </c>
      <c r="B6" s="213">
        <f>COUNTIF($F11:$F16,B5)</f>
        <v/>
      </c>
      <c r="C6" s="213">
        <f>COUNTIF($F11:$F16,C5)</f>
        <v/>
      </c>
      <c r="D6" s="213">
        <f>COUNTIF($F11:$F16,D5)</f>
        <v/>
      </c>
      <c r="E6" s="214">
        <f>COUNTIF($F11:$F16,E5)</f>
        <v/>
      </c>
      <c r="F6" s="215" t="n"/>
      <c r="G6" s="215" t="n"/>
      <c r="H6" s="194" t="n"/>
      <c r="I6" s="215" t="n"/>
      <c r="J6" s="215" t="n"/>
      <c r="K6" s="194" t="n"/>
      <c r="L6" s="215" t="n"/>
      <c r="M6" s="215" t="n"/>
      <c r="N6" s="194" t="n"/>
      <c r="O6" s="194" t="n"/>
      <c r="P6" s="194" t="n"/>
      <c r="Q6" s="212" t="n"/>
    </row>
    <row r="7" ht="15" customHeight="1" s="165">
      <c r="A7" s="208" t="inlineStr">
        <is>
          <t>Round 2</t>
        </is>
      </c>
      <c r="B7" s="213" t="n">
        <v>0</v>
      </c>
      <c r="C7" s="213">
        <f>COUNTIF($F11:$F16,C5)</f>
        <v/>
      </c>
      <c r="D7" s="213" t="n">
        <v>0</v>
      </c>
      <c r="E7" s="214">
        <f>B4-B7-C7-D7</f>
        <v/>
      </c>
      <c r="F7" s="215" t="n"/>
      <c r="G7" s="215" t="n"/>
      <c r="H7" s="194" t="n"/>
      <c r="I7" s="215" t="n"/>
      <c r="J7" s="215" t="n"/>
      <c r="K7" s="194" t="n"/>
      <c r="L7" s="215" t="n"/>
      <c r="M7" s="215" t="n"/>
      <c r="N7" s="194" t="n"/>
      <c r="O7" s="194" t="n"/>
      <c r="P7" s="194" t="n"/>
      <c r="Q7" s="212" t="n"/>
    </row>
    <row r="8" ht="15" customHeight="1" s="165">
      <c r="A8" s="216" t="inlineStr">
        <is>
          <t>Round 3</t>
        </is>
      </c>
      <c r="B8" s="217" t="n">
        <v>0</v>
      </c>
      <c r="C8" s="217">
        <f>COUNTIF($F11:$F16,C5)</f>
        <v/>
      </c>
      <c r="D8" s="217" t="n">
        <v>0</v>
      </c>
      <c r="E8" s="218">
        <f>B4-B8-C8-D8</f>
        <v/>
      </c>
      <c r="F8" s="215" t="n"/>
      <c r="G8" s="215" t="n"/>
      <c r="H8" s="194" t="n"/>
      <c r="I8" s="215" t="n"/>
      <c r="J8" s="215" t="n"/>
      <c r="K8" s="194" t="n"/>
      <c r="L8" s="215" t="n"/>
      <c r="M8" s="215" t="n"/>
      <c r="N8" s="194" t="n"/>
      <c r="O8" s="194" t="n"/>
      <c r="P8" s="194" t="n"/>
      <c r="Q8" s="212" t="n"/>
    </row>
    <row r="9" ht="15" customHeight="1" s="165">
      <c r="A9" s="194" t="n"/>
      <c r="B9" s="194" t="n"/>
      <c r="C9" s="194" t="n"/>
      <c r="D9" s="194" t="n"/>
      <c r="E9" s="194" t="n"/>
      <c r="F9" s="219" t="n"/>
      <c r="G9" s="194" t="n"/>
      <c r="H9" s="194" t="n"/>
      <c r="I9" s="219" t="n"/>
      <c r="J9" s="194" t="n"/>
      <c r="K9" s="194" t="n"/>
      <c r="L9" s="219" t="n"/>
      <c r="M9" s="194" t="n"/>
      <c r="N9" s="194" t="n"/>
      <c r="O9" s="194" t="n"/>
      <c r="P9" s="194" t="n"/>
      <c r="Q9" s="212" t="n"/>
    </row>
    <row r="10" ht="25.5" customHeight="1" s="165">
      <c r="A10" s="220" t="inlineStr">
        <is>
          <t>Test Case ID</t>
        </is>
      </c>
      <c r="B10" s="220" t="inlineStr">
        <is>
          <t>Test Case Description</t>
        </is>
      </c>
      <c r="C10" s="220" t="inlineStr">
        <is>
          <t>Test Case Procedure</t>
        </is>
      </c>
      <c r="D10" s="220" t="inlineStr">
        <is>
          <t>Expected Results</t>
        </is>
      </c>
      <c r="E10" s="220" t="inlineStr">
        <is>
          <t>Pre-conditions</t>
        </is>
      </c>
      <c r="F10" s="220" t="inlineStr">
        <is>
          <t>Round 1</t>
        </is>
      </c>
      <c r="G10" s="220" t="inlineStr">
        <is>
          <t>Test date</t>
        </is>
      </c>
      <c r="H10" s="220" t="inlineStr">
        <is>
          <t>Tester</t>
        </is>
      </c>
      <c r="I10" s="220" t="inlineStr">
        <is>
          <t>Round 2</t>
        </is>
      </c>
      <c r="J10" s="220" t="inlineStr">
        <is>
          <t>Test date</t>
        </is>
      </c>
      <c r="K10" s="220" t="inlineStr">
        <is>
          <t>Tester</t>
        </is>
      </c>
      <c r="L10" s="220" t="inlineStr">
        <is>
          <t>Round 3</t>
        </is>
      </c>
      <c r="M10" s="220" t="inlineStr">
        <is>
          <t>Test date</t>
        </is>
      </c>
      <c r="N10" s="220" t="inlineStr">
        <is>
          <t>Tester</t>
        </is>
      </c>
      <c r="O10" s="220" t="inlineStr">
        <is>
          <t>Note</t>
        </is>
      </c>
      <c r="P10" s="122" t="n"/>
      <c r="Q10" s="221" t="n"/>
    </row>
    <row r="11">
      <c r="A11" s="222" t="inlineStr">
        <is>
          <t>Scenario 1 - Successful Account Creation</t>
        </is>
      </c>
      <c r="B11" s="232" t="n"/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2" t="n"/>
      <c r="M11" s="232" t="n"/>
      <c r="N11" s="232" t="n"/>
      <c r="O11" s="233" t="n"/>
    </row>
    <row r="12">
      <c r="A12" s="223" t="inlineStr">
        <is>
          <t>TC01</t>
        </is>
      </c>
      <c r="B12" s="224" t="inlineStr">
        <is>
          <t>Verify account creation with valid unique details.</t>
        </is>
      </c>
      <c r="C12" s="224" t="inlineStr">
        <is>
          <t>1. Click '✚ Thêm tài khoản'.
2. Fill valid name, unique email, phone, valid password.
3. Click 'Tạo tài khoản'.</t>
        </is>
      </c>
      <c r="D12" s="224" t="inlineStr">
        <is>
          <t>System hashes password, creates active user in DB, redirects to list, and displays creation success message.</t>
        </is>
      </c>
      <c r="E12" s="224" t="inlineStr">
        <is>
          <t>Admin is logged in.</t>
        </is>
      </c>
      <c r="F12" s="223" t="inlineStr">
        <is>
          <t>Passed</t>
        </is>
      </c>
      <c r="G12" s="234" t="n">
        <v>46199</v>
      </c>
      <c r="H12" s="223" t="inlineStr">
        <is>
          <t>LUCTV</t>
        </is>
      </c>
      <c r="I12" s="223" t="inlineStr">
        <is>
          <t>N/A</t>
        </is>
      </c>
      <c r="J12" s="223" t="n"/>
      <c r="K12" s="223" t="n"/>
      <c r="L12" s="223" t="inlineStr">
        <is>
          <t>N/A</t>
        </is>
      </c>
      <c r="M12" s="223" t="n"/>
      <c r="N12" s="223" t="n"/>
      <c r="O12" s="223" t="inlineStr">
        <is>
          <t>Iteration 2.</t>
        </is>
      </c>
    </row>
    <row r="13">
      <c r="A13" s="222" t="inlineStr">
        <is>
          <t>Scenario 2 - Duplicate Constraints and Validations</t>
        </is>
      </c>
      <c r="B13" s="232" t="n"/>
      <c r="C13" s="232" t="n"/>
      <c r="D13" s="232" t="n"/>
      <c r="E13" s="232" t="n"/>
      <c r="F13" s="232" t="n"/>
      <c r="G13" s="232" t="n"/>
      <c r="H13" s="232" t="n"/>
      <c r="I13" s="232" t="n"/>
      <c r="J13" s="232" t="n"/>
      <c r="K13" s="232" t="n"/>
      <c r="L13" s="232" t="n"/>
      <c r="M13" s="232" t="n"/>
      <c r="N13" s="232" t="n"/>
      <c r="O13" s="233" t="n"/>
    </row>
    <row r="14">
      <c r="A14" s="223" t="inlineStr">
        <is>
          <t>TC02</t>
        </is>
      </c>
      <c r="B14" s="224" t="inlineStr">
        <is>
          <t>Verify creation error on duplicate email address.</t>
        </is>
      </c>
      <c r="C14" s="224" t="inlineStr">
        <is>
          <t>1. Open form, enter an email already registered in system.
2. Click submit.</t>
        </is>
      </c>
      <c r="D14" s="224" t="inlineStr">
        <is>
          <t>System blocks action and displays error: 'Email đã được sử dụng bởi một tài khoản khác!'.</t>
        </is>
      </c>
      <c r="E14" s="224" t="inlineStr">
        <is>
          <t>Admin is logged in.</t>
        </is>
      </c>
      <c r="F14" s="223" t="inlineStr">
        <is>
          <t>Passed</t>
        </is>
      </c>
      <c r="G14" s="234" t="n">
        <v>46199</v>
      </c>
      <c r="H14" s="223" t="inlineStr">
        <is>
          <t>LUCTV</t>
        </is>
      </c>
      <c r="I14" s="223" t="inlineStr">
        <is>
          <t>N/A</t>
        </is>
      </c>
      <c r="J14" s="223" t="n"/>
      <c r="K14" s="223" t="n"/>
      <c r="L14" s="223" t="inlineStr">
        <is>
          <t>N/A</t>
        </is>
      </c>
      <c r="M14" s="223" t="n"/>
      <c r="N14" s="223" t="n"/>
      <c r="O14" s="223" t="inlineStr">
        <is>
          <t>Iteration 2.</t>
        </is>
      </c>
    </row>
    <row r="15">
      <c r="A15" s="223" t="inlineStr">
        <is>
          <t>TC03</t>
        </is>
      </c>
      <c r="B15" s="224" t="inlineStr">
        <is>
          <t>Verify creation error on duplicate phone number.</t>
        </is>
      </c>
      <c r="C15" s="224" t="inlineStr">
        <is>
          <t>1. Open form, enter a phone already registered in system.
2. Click submit.</t>
        </is>
      </c>
      <c r="D15" s="224" t="inlineStr">
        <is>
          <t>System blocks action and displays error: 'Số điện thoại đã được đăng ký bởi một tài khoản khác!'.</t>
        </is>
      </c>
      <c r="E15" s="224" t="inlineStr">
        <is>
          <t>Admin is logged in.</t>
        </is>
      </c>
      <c r="F15" s="223" t="inlineStr">
        <is>
          <t>Passed</t>
        </is>
      </c>
      <c r="G15" s="234" t="n">
        <v>46199</v>
      </c>
      <c r="H15" s="223" t="inlineStr">
        <is>
          <t>LUCTV</t>
        </is>
      </c>
      <c r="I15" s="223" t="inlineStr">
        <is>
          <t>N/A</t>
        </is>
      </c>
      <c r="J15" s="223" t="n"/>
      <c r="K15" s="223" t="n"/>
      <c r="L15" s="223" t="inlineStr">
        <is>
          <t>N/A</t>
        </is>
      </c>
      <c r="M15" s="223" t="n"/>
      <c r="N15" s="223" t="n"/>
      <c r="O15" s="223" t="inlineStr">
        <is>
          <t>Iteration 2.</t>
        </is>
      </c>
    </row>
    <row r="16">
      <c r="A16" s="223" t="inlineStr">
        <is>
          <t>TC04</t>
        </is>
      </c>
      <c r="B16" s="224" t="inlineStr">
        <is>
          <t>Verify input validations block invalid formats.</t>
        </is>
      </c>
      <c r="C16" s="224" t="inlineStr">
        <is>
          <t>1. Enter invalid email or phone &lt; 10 digits or password &lt; 6 chars.
2. Click submit.</t>
        </is>
      </c>
      <c r="D16" s="224" t="inlineStr">
        <is>
          <t>Client-side JS blocks submission with browser alerts. Server double-validates inputs and outputs error messages.</t>
        </is>
      </c>
      <c r="E16" s="224" t="inlineStr">
        <is>
          <t>Admin is logged in.</t>
        </is>
      </c>
      <c r="F16" s="223" t="inlineStr">
        <is>
          <t>Passed</t>
        </is>
      </c>
      <c r="G16" s="234" t="n">
        <v>46199</v>
      </c>
      <c r="H16" s="223" t="inlineStr">
        <is>
          <t>LUCTV</t>
        </is>
      </c>
      <c r="I16" s="223" t="inlineStr">
        <is>
          <t>N/A</t>
        </is>
      </c>
      <c r="J16" s="223" t="n"/>
      <c r="K16" s="223" t="n"/>
      <c r="L16" s="223" t="inlineStr">
        <is>
          <t>N/A</t>
        </is>
      </c>
      <c r="M16" s="223" t="n"/>
      <c r="N16" s="223" t="n"/>
      <c r="O16" s="223" t="inlineStr">
        <is>
          <t>Iteration 2.</t>
        </is>
      </c>
    </row>
  </sheetData>
  <mergeCells count="5">
    <mergeCell ref="B4:E4"/>
    <mergeCell ref="A13:O13"/>
    <mergeCell ref="A11:O11"/>
    <mergeCell ref="B3:E3"/>
    <mergeCell ref="B2:E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27.5" customWidth="1" style="165" min="1" max="1"/>
    <col width="41.13" customWidth="1" style="165" min="2" max="2"/>
    <col width="90.38" customWidth="1" style="165" min="3" max="3"/>
    <col width="83.38" customWidth="1" style="165" min="4" max="4"/>
    <col width="43.25" customWidth="1" style="165" min="5" max="5"/>
    <col width="10" customWidth="1" style="165" min="6" max="6"/>
    <col width="8.630000000000001" customWidth="1" style="165" min="7" max="7"/>
    <col width="14.25" customWidth="1" style="165" min="8" max="8"/>
    <col width="6.38" customWidth="1" style="165" min="9" max="9"/>
    <col width="4.75" customWidth="1" style="165" min="10" max="10"/>
    <col width="5.5" customWidth="1" style="165" min="11" max="11"/>
    <col width="6.38" customWidth="1" style="165" min="12" max="12"/>
    <col width="4.75" customWidth="1" style="165" min="13" max="13"/>
    <col width="5.5" customWidth="1" style="165" min="14" max="14"/>
    <col width="34.38" customWidth="1" style="165" min="15" max="15"/>
    <col width="10.13" customWidth="1" style="165" min="16" max="16"/>
    <col width="8.130000000000001" customWidth="1" style="165" min="17" max="17"/>
    <col width="6.5" customWidth="1" style="165" min="18" max="18"/>
    <col width="9" customWidth="1" style="165" min="19" max="19"/>
    <col width="13" customWidth="1" style="165" min="20" max="20"/>
    <col width="13" customWidth="1" style="165" min="21" max="21"/>
    <col width="13" customWidth="1" style="165" min="22" max="22"/>
    <col width="13" customWidth="1" style="165" min="23" max="23"/>
    <col width="13" customWidth="1" style="165" min="24" max="24"/>
    <col width="13" customWidth="1" style="165" min="25" max="25"/>
    <col width="13" customWidth="1" style="165" min="26" max="26"/>
  </cols>
  <sheetData>
    <row r="1" ht="12.75" customHeight="1" s="165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5" t="n"/>
    </row>
    <row r="2" ht="15" customHeight="1" s="165">
      <c r="A2" s="200" t="inlineStr">
        <is>
          <t>Workflow</t>
        </is>
      </c>
      <c r="B2" s="201" t="inlineStr">
        <is>
          <t>Iteration 2 - View Account Detail</t>
        </is>
      </c>
      <c r="C2" s="196" t="n"/>
      <c r="D2" s="196" t="n"/>
      <c r="E2" s="197" t="n"/>
      <c r="F2" s="202" t="n"/>
      <c r="G2" s="203" t="n"/>
      <c r="H2" s="204" t="n"/>
      <c r="I2" s="202" t="n"/>
      <c r="J2" s="203" t="n"/>
      <c r="K2" s="204" t="n"/>
      <c r="L2" s="202" t="n"/>
      <c r="M2" s="203" t="n"/>
      <c r="N2" s="204" t="n"/>
      <c r="O2" s="204" t="n"/>
      <c r="P2" s="204" t="n"/>
      <c r="Q2" s="205" t="n"/>
    </row>
    <row r="3" ht="12.75" customHeight="1" s="165">
      <c r="A3" s="206" t="inlineStr">
        <is>
          <t>Test requirement</t>
        </is>
      </c>
      <c r="B3" s="207" t="inlineStr">
        <is>
          <t>Verify account detail modal popup display and defaults.</t>
        </is>
      </c>
      <c r="C3" s="167" t="n"/>
      <c r="D3" s="167" t="n"/>
      <c r="E3" s="199" t="n"/>
      <c r="F3" s="202" t="n"/>
      <c r="G3" s="203" t="n"/>
      <c r="H3" s="204" t="n"/>
      <c r="I3" s="202" t="n"/>
      <c r="J3" s="203" t="n"/>
      <c r="K3" s="204" t="n"/>
      <c r="L3" s="202" t="n"/>
      <c r="M3" s="203" t="n"/>
      <c r="N3" s="204" t="n"/>
      <c r="O3" s="204" t="n"/>
      <c r="P3" s="204" t="n"/>
      <c r="Q3" s="205" t="n"/>
    </row>
    <row r="4" ht="18" customHeight="1" s="165">
      <c r="A4" s="206" t="inlineStr">
        <is>
          <t>Number of TCs</t>
        </is>
      </c>
      <c r="B4" s="207" t="n">
        <v>2</v>
      </c>
      <c r="C4" s="167" t="n"/>
      <c r="D4" s="167" t="n"/>
      <c r="E4" s="199" t="n"/>
      <c r="F4" s="202" t="n"/>
      <c r="G4" s="203" t="n"/>
      <c r="H4" s="204" t="n"/>
      <c r="I4" s="202" t="n"/>
      <c r="J4" s="203" t="n"/>
      <c r="K4" s="204" t="n"/>
      <c r="L4" s="202" t="n"/>
      <c r="M4" s="203" t="n"/>
      <c r="N4" s="204" t="n"/>
      <c r="O4" s="204" t="n"/>
      <c r="P4" s="204" t="n"/>
      <c r="Q4" s="205" t="n"/>
    </row>
    <row r="5" ht="19.5" customHeight="1" s="165">
      <c r="A5" s="208" t="inlineStr">
        <is>
          <t>Testing Round</t>
        </is>
      </c>
      <c r="B5" s="209" t="inlineStr">
        <is>
          <t>Passed</t>
        </is>
      </c>
      <c r="C5" s="209" t="inlineStr">
        <is>
          <t>Failed</t>
        </is>
      </c>
      <c r="D5" s="209" t="inlineStr">
        <is>
          <t>Pending</t>
        </is>
      </c>
      <c r="E5" s="210" t="inlineStr">
        <is>
          <t>N/A</t>
        </is>
      </c>
      <c r="F5" s="211" t="n"/>
      <c r="G5" s="211" t="n"/>
      <c r="H5" s="194" t="n"/>
      <c r="I5" s="211" t="n"/>
      <c r="J5" s="211" t="n"/>
      <c r="K5" s="194" t="n"/>
      <c r="L5" s="211" t="n"/>
      <c r="M5" s="211" t="n"/>
      <c r="N5" s="194" t="n"/>
      <c r="O5" s="194" t="n"/>
      <c r="P5" s="194" t="n"/>
      <c r="Q5" s="212" t="n"/>
    </row>
    <row r="6" ht="15" customHeight="1" s="165">
      <c r="A6" s="208" t="inlineStr">
        <is>
          <t>Round 1</t>
        </is>
      </c>
      <c r="B6" s="213">
        <f>COUNTIF($F11:$F14,B5)</f>
        <v/>
      </c>
      <c r="C6" s="213">
        <f>COUNTIF($F11:$F14,C5)</f>
        <v/>
      </c>
      <c r="D6" s="213">
        <f>COUNTIF($F11:$F14,D5)</f>
        <v/>
      </c>
      <c r="E6" s="214">
        <f>COUNTIF($F11:$F14,E5)</f>
        <v/>
      </c>
      <c r="F6" s="215" t="n"/>
      <c r="G6" s="215" t="n"/>
      <c r="H6" s="194" t="n"/>
      <c r="I6" s="215" t="n"/>
      <c r="J6" s="215" t="n"/>
      <c r="K6" s="194" t="n"/>
      <c r="L6" s="215" t="n"/>
      <c r="M6" s="215" t="n"/>
      <c r="N6" s="194" t="n"/>
      <c r="O6" s="194" t="n"/>
      <c r="P6" s="194" t="n"/>
      <c r="Q6" s="212" t="n"/>
    </row>
    <row r="7" ht="15" customHeight="1" s="165">
      <c r="A7" s="208" t="inlineStr">
        <is>
          <t>Round 2</t>
        </is>
      </c>
      <c r="B7" s="213" t="n">
        <v>0</v>
      </c>
      <c r="C7" s="213">
        <f>COUNTIF($F11:$F14,C5)</f>
        <v/>
      </c>
      <c r="D7" s="213" t="n">
        <v>0</v>
      </c>
      <c r="E7" s="214">
        <f>B4-B7-C7-D7</f>
        <v/>
      </c>
      <c r="F7" s="215" t="n"/>
      <c r="G7" s="215" t="n"/>
      <c r="H7" s="194" t="n"/>
      <c r="I7" s="215" t="n"/>
      <c r="J7" s="215" t="n"/>
      <c r="K7" s="194" t="n"/>
      <c r="L7" s="215" t="n"/>
      <c r="M7" s="215" t="n"/>
      <c r="N7" s="194" t="n"/>
      <c r="O7" s="194" t="n"/>
      <c r="P7" s="194" t="n"/>
      <c r="Q7" s="212" t="n"/>
    </row>
    <row r="8" ht="15" customHeight="1" s="165">
      <c r="A8" s="216" t="inlineStr">
        <is>
          <t>Round 3</t>
        </is>
      </c>
      <c r="B8" s="217" t="n">
        <v>0</v>
      </c>
      <c r="C8" s="217">
        <f>COUNTIF($F11:$F14,C5)</f>
        <v/>
      </c>
      <c r="D8" s="217" t="n">
        <v>0</v>
      </c>
      <c r="E8" s="218">
        <f>B4-B8-C8-D8</f>
        <v/>
      </c>
      <c r="F8" s="215" t="n"/>
      <c r="G8" s="215" t="n"/>
      <c r="H8" s="194" t="n"/>
      <c r="I8" s="215" t="n"/>
      <c r="J8" s="215" t="n"/>
      <c r="K8" s="194" t="n"/>
      <c r="L8" s="215" t="n"/>
      <c r="M8" s="215" t="n"/>
      <c r="N8" s="194" t="n"/>
      <c r="O8" s="194" t="n"/>
      <c r="P8" s="194" t="n"/>
      <c r="Q8" s="212" t="n"/>
    </row>
    <row r="9" ht="15" customHeight="1" s="165">
      <c r="A9" s="194" t="n"/>
      <c r="B9" s="194" t="n"/>
      <c r="C9" s="194" t="n"/>
      <c r="D9" s="194" t="n"/>
      <c r="E9" s="194" t="n"/>
      <c r="F9" s="219" t="n"/>
      <c r="G9" s="194" t="n"/>
      <c r="H9" s="194" t="n"/>
      <c r="I9" s="219" t="n"/>
      <c r="J9" s="194" t="n"/>
      <c r="K9" s="194" t="n"/>
      <c r="L9" s="219" t="n"/>
      <c r="M9" s="194" t="n"/>
      <c r="N9" s="194" t="n"/>
      <c r="O9" s="194" t="n"/>
      <c r="P9" s="194" t="n"/>
      <c r="Q9" s="212" t="n"/>
    </row>
    <row r="10" ht="25.5" customHeight="1" s="165">
      <c r="A10" s="220" t="inlineStr">
        <is>
          <t>Test Case ID</t>
        </is>
      </c>
      <c r="B10" s="220" t="inlineStr">
        <is>
          <t>Test Case Description</t>
        </is>
      </c>
      <c r="C10" s="220" t="inlineStr">
        <is>
          <t>Test Case Procedure</t>
        </is>
      </c>
      <c r="D10" s="220" t="inlineStr">
        <is>
          <t>Expected Results</t>
        </is>
      </c>
      <c r="E10" s="220" t="inlineStr">
        <is>
          <t>Pre-conditions</t>
        </is>
      </c>
      <c r="F10" s="220" t="inlineStr">
        <is>
          <t>Round 1</t>
        </is>
      </c>
      <c r="G10" s="220" t="inlineStr">
        <is>
          <t>Test date</t>
        </is>
      </c>
      <c r="H10" s="220" t="inlineStr">
        <is>
          <t>Tester</t>
        </is>
      </c>
      <c r="I10" s="220" t="inlineStr">
        <is>
          <t>Round 2</t>
        </is>
      </c>
      <c r="J10" s="220" t="inlineStr">
        <is>
          <t>Test date</t>
        </is>
      </c>
      <c r="K10" s="220" t="inlineStr">
        <is>
          <t>Tester</t>
        </is>
      </c>
      <c r="L10" s="220" t="inlineStr">
        <is>
          <t>Round 3</t>
        </is>
      </c>
      <c r="M10" s="220" t="inlineStr">
        <is>
          <t>Test date</t>
        </is>
      </c>
      <c r="N10" s="220" t="inlineStr">
        <is>
          <t>Tester</t>
        </is>
      </c>
      <c r="O10" s="220" t="inlineStr">
        <is>
          <t>Note</t>
        </is>
      </c>
      <c r="P10" s="122" t="n"/>
      <c r="Q10" s="221" t="n"/>
    </row>
    <row r="11">
      <c r="A11" s="222" t="inlineStr">
        <is>
          <t>Scenario 1 - Detail Modal Rendering</t>
        </is>
      </c>
      <c r="B11" s="232" t="n"/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2" t="n"/>
      <c r="M11" s="232" t="n"/>
      <c r="N11" s="232" t="n"/>
      <c r="O11" s="233" t="n"/>
    </row>
    <row r="12">
      <c r="A12" s="223" t="inlineStr">
        <is>
          <t>TC01</t>
        </is>
      </c>
      <c r="B12" s="224" t="inlineStr">
        <is>
          <t>Verify opening details modal displays correct account attributes.</t>
        </is>
      </c>
      <c r="C12" s="224" t="inlineStr">
        <is>
          <t>1. Click 'Chi tiết' button next to user.
2. Verify information shown in modal.</t>
        </is>
      </c>
      <c r="D12" s="224" t="inlineStr">
        <is>
          <t>Modal displays preloaded ID, name, email, phone, status, role, formatted created date, last login date, and avatar correctly.</t>
        </is>
      </c>
      <c r="E12" s="224" t="inlineStr">
        <is>
          <t>Admin is logged in.</t>
        </is>
      </c>
      <c r="F12" s="223" t="inlineStr">
        <is>
          <t>Passed</t>
        </is>
      </c>
      <c r="G12" s="234" t="n">
        <v>46199</v>
      </c>
      <c r="H12" s="223" t="inlineStr">
        <is>
          <t>LUCTV</t>
        </is>
      </c>
      <c r="I12" s="223" t="inlineStr">
        <is>
          <t>N/A</t>
        </is>
      </c>
      <c r="J12" s="223" t="n"/>
      <c r="K12" s="223" t="n"/>
      <c r="L12" s="223" t="inlineStr">
        <is>
          <t>N/A</t>
        </is>
      </c>
      <c r="M12" s="223" t="n"/>
      <c r="N12" s="223" t="n"/>
      <c r="O12" s="223" t="inlineStr">
        <is>
          <t>Iteration 2.</t>
        </is>
      </c>
    </row>
    <row r="13">
      <c r="A13" s="222" t="inlineStr">
        <is>
          <t>Scenario 2 - Missing Data Defaults</t>
        </is>
      </c>
      <c r="B13" s="232" t="n"/>
      <c r="C13" s="232" t="n"/>
      <c r="D13" s="232" t="n"/>
      <c r="E13" s="232" t="n"/>
      <c r="F13" s="232" t="n"/>
      <c r="G13" s="232" t="n"/>
      <c r="H13" s="232" t="n"/>
      <c r="I13" s="232" t="n"/>
      <c r="J13" s="232" t="n"/>
      <c r="K13" s="232" t="n"/>
      <c r="L13" s="232" t="n"/>
      <c r="M13" s="232" t="n"/>
      <c r="N13" s="232" t="n"/>
      <c r="O13" s="233" t="n"/>
    </row>
    <row r="14">
      <c r="A14" s="223" t="inlineStr">
        <is>
          <t>TC02</t>
        </is>
      </c>
      <c r="B14" s="224" t="inlineStr">
        <is>
          <t>Verify modal displays friendly fallbacks for missing values.</t>
        </is>
      </c>
      <c r="C14" s="224" t="inlineStr">
        <is>
          <t>1. Open details modal for user with missing phone/last-login/avatar.
2. Verify placeholders.</t>
        </is>
      </c>
      <c r="D14" s="224" t="inlineStr">
        <is>
          <t>Modal displays 'Chưa có' for phone, 'Chưa từng đăng nhập' for last login, and renders default SVG placeholder for avatar.</t>
        </is>
      </c>
      <c r="E14" s="224" t="inlineStr">
        <is>
          <t>Admin is logged in.</t>
        </is>
      </c>
      <c r="F14" s="223" t="inlineStr">
        <is>
          <t>Passed</t>
        </is>
      </c>
      <c r="G14" s="234" t="n">
        <v>46199</v>
      </c>
      <c r="H14" s="223" t="inlineStr">
        <is>
          <t>LUCTV</t>
        </is>
      </c>
      <c r="I14" s="223" t="inlineStr">
        <is>
          <t>N/A</t>
        </is>
      </c>
      <c r="J14" s="223" t="n"/>
      <c r="K14" s="223" t="n"/>
      <c r="L14" s="223" t="inlineStr">
        <is>
          <t>N/A</t>
        </is>
      </c>
      <c r="M14" s="223" t="n"/>
      <c r="N14" s="223" t="n"/>
      <c r="O14" s="223" t="inlineStr">
        <is>
          <t>Iteration 2.</t>
        </is>
      </c>
    </row>
  </sheetData>
  <mergeCells count="5">
    <mergeCell ref="B4:E4"/>
    <mergeCell ref="A13:O13"/>
    <mergeCell ref="A11:O11"/>
    <mergeCell ref="B3:E3"/>
    <mergeCell ref="B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Kien Nguyen</dc:creator>
  <dcterms:created xsi:type="dcterms:W3CDTF">2020-03-17T17:34:29Z</dcterms:created>
  <dcterms:modified xsi:type="dcterms:W3CDTF">2026-06-26T01:28:19Z</dcterms:modified>
</cp:coreProperties>
</file>